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Ghiyas\Portofolio\"/>
    </mc:Choice>
  </mc:AlternateContent>
  <xr:revisionPtr revIDLastSave="0" documentId="13_ncr:1_{B43238FF-7E90-4B52-9D65-A9AD75E556D6}" xr6:coauthVersionLast="47" xr6:coauthVersionMax="47" xr10:uidLastSave="{00000000-0000-0000-0000-000000000000}"/>
  <bookViews>
    <workbookView xWindow="-110" yWindow="-110" windowWidth="19420" windowHeight="10300" tabRatio="500" firstSheet="1" activeTab="1" xr2:uid="{00000000-000D-0000-FFFF-FFFF00000000}"/>
  </bookViews>
  <sheets>
    <sheet name="Cover" sheetId="1" r:id="rId1"/>
    <sheet name="Dashboard" sheetId="2" r:id="rId2"/>
    <sheet name="Assumptions" sheetId="3" r:id="rId3"/>
    <sheet name="Historical_Data" sheetId="4" r:id="rId4"/>
    <sheet name="Revenue_Build" sheetId="5" r:id="rId5"/>
    <sheet name="Income_Statement" sheetId="6" r:id="rId6"/>
    <sheet name="Working_Capital" sheetId="17" r:id="rId7"/>
    <sheet name="Debt_Schedule" sheetId="8" r:id="rId8"/>
    <sheet name="Balance_Sheet" sheetId="9" r:id="rId9"/>
    <sheet name="Cash_Flow" sheetId="10" r:id="rId10"/>
    <sheet name="Capital_allocation" sheetId="15" r:id="rId11"/>
    <sheet name="Valuation" sheetId="11" r:id="rId12"/>
    <sheet name="Ratios" sheetId="12" r:id="rId13"/>
    <sheet name="Checks" sheetId="13" r:id="rId14"/>
  </sheets>
  <externalReferences>
    <externalReference r:id="rId15"/>
    <externalReference r:id="rId16"/>
  </externalReferences>
  <definedNames>
    <definedName name="Auto_Growth" localSheetId="6">[1]Assumptions!$C$14</definedName>
    <definedName name="Auto_Growth">Assumptions!$C$14</definedName>
    <definedName name="BS_AP">Balance_Sheet!$C$20:$J$20</definedName>
    <definedName name="BS_AR">Balance_Sheet!$C$10:$J$10</definedName>
    <definedName name="BS_Cash">Balance_Sheet!$C$8:$J$8</definedName>
    <definedName name="BS_Check">Balance_Sheet!$C$44:$J$44</definedName>
    <definedName name="BS_Inv">Balance_Sheet!$C$11:$J$11</definedName>
    <definedName name="BS_LTD">Balance_Sheet!$C$24:$J$24</definedName>
    <definedName name="BS_PPE">Balance_Sheet!$C$14:$J$14</definedName>
    <definedName name="BS_Shares">Balance_Sheet!$C$40:$J$40</definedName>
    <definedName name="BS_STI">Balance_Sheet!$C$9:$J$9</definedName>
    <definedName name="BS_TCA">Balance_Sheet!$C$13:$J$13</definedName>
    <definedName name="BS_TCL">Balance_Sheet!$C$23:$J$23</definedName>
    <definedName name="BS_Total_Assets">Balance_Sheet!$C$17:$J$17</definedName>
    <definedName name="BS_Total_Equity">Balance_Sheet!$C$37:$J$37</definedName>
    <definedName name="BS_Total_Liab">Balance_Sheet!$C$26:$J$26</definedName>
    <definedName name="Capex_Pct" localSheetId="6">[1]Assumptions!$C$27</definedName>
    <definedName name="Capex_Pct">Assumptions!$C$27</definedName>
    <definedName name="Cash_Yield" localSheetId="6">[1]Assumptions!$C$9</definedName>
    <definedName name="Cash_Yield">Assumptions!$C$9</definedName>
    <definedName name="CF_Capex">Cash_Flow!$C$15:$J$15</definedName>
    <definedName name="CF_CFF">Cash_Flow!$C$25:$J$25</definedName>
    <definedName name="CF_CFI">Cash_Flow!$C$18:$J$18</definedName>
    <definedName name="CF_CFO">Cash_Flow!$C$12:$J$12</definedName>
    <definedName name="CF_Closing_Cash">Cash_Flow!$C$31:$J$31</definedName>
    <definedName name="CF_DA">Cash_Flow!$C$9:$J$9</definedName>
    <definedName name="CF_FCF">Cash_Flow!$C$33:$J$33</definedName>
    <definedName name="CF_Opening_Cash">Cash_Flow!$C$30:$J$30</definedName>
    <definedName name="DC_Compute_Growth" localSheetId="6">[1]Assumptions!$C$10</definedName>
    <definedName name="DC_Compute_Growth">Assumptions!$C$10</definedName>
    <definedName name="DC_Network_Growth" localSheetId="6">[1]Assumptions!$C$11</definedName>
    <definedName name="DC_Network_Growth">Assumptions!$C$11</definedName>
    <definedName name="DCF_Per_Share" localSheetId="6">[1]Valuation!$C$28</definedName>
    <definedName name="DCF_Per_Share">Valuation!$C$28</definedName>
    <definedName name="Debt_Closing">Debt_Schedule!$C$11:$J$11</definedName>
    <definedName name="Debt_Int_Income">Debt_Schedule!$C$17:$J$17</definedName>
    <definedName name="Debt_Interest">Debt_Schedule!$C$13:$J$13</definedName>
    <definedName name="Debt_Opening">Debt_Schedule!$C$8:$J$8</definedName>
    <definedName name="DIO" localSheetId="6">[1]Assumptions!$C$25</definedName>
    <definedName name="DIO">Assumptions!$C$25</definedName>
    <definedName name="Div_Per_Share" localSheetId="6">[1]Assumptions!$C$28</definedName>
    <definedName name="Div_Per_Share">Assumptions!$C$28</definedName>
    <definedName name="DPO" localSheetId="6">[1]Assumptions!$C$26</definedName>
    <definedName name="DPO">Assumptions!$C$26</definedName>
    <definedName name="DSO" localSheetId="6">[1]Assumptions!$C$24</definedName>
    <definedName name="DSO">Assumptions!$C$24</definedName>
    <definedName name="Equity_Value">Valuation!$C$26</definedName>
    <definedName name="EV">Valuation!$C$24</definedName>
    <definedName name="Exit_EV_EBITDA" localSheetId="6">[1]Assumptions!$C$33</definedName>
    <definedName name="Exit_EV_EBITDA">Assumptions!$C$32</definedName>
    <definedName name="Gaming_Growth" localSheetId="6">[1]Assumptions!$C$12</definedName>
    <definedName name="Gaming_Growth">Assumptions!$C$12</definedName>
    <definedName name="Gross_Margin_FY26" localSheetId="6">[1]Assumptions!$C$17</definedName>
    <definedName name="Gross_Margin_FY26">Assumptions!$C$17</definedName>
    <definedName name="Gross_Margin_Term" localSheetId="6">[1]Assumptions!$C$18</definedName>
    <definedName name="Gross_Margin_Term">Assumptions!$C$18</definedName>
    <definedName name="Growth_Decay" localSheetId="6">[1]Assumptions!$C$16</definedName>
    <definedName name="Growth_Decay">Assumptions!$C$16</definedName>
    <definedName name="IS_COGS">Income_Statement!$C$9:$J$9</definedName>
    <definedName name="IS_Diluted_Shares">Income_Statement!$C$24:$J$24</definedName>
    <definedName name="IS_EBITDA">Income_Statement!$C$33:$J$33</definedName>
    <definedName name="IS_EPS">Income_Statement!$C$25:$J$25</definedName>
    <definedName name="IS_GM_Pct">Income_Statement!$C$8:$J$8</definedName>
    <definedName name="IS_Gross_Profit">Income_Statement!$C$10:$J$10</definedName>
    <definedName name="IS_Int_Expense">Income_Statement!$C$17:$J$17</definedName>
    <definedName name="IS_Int_Income">Income_Statement!$C$16:$J$16</definedName>
    <definedName name="IS_Net_Income">Income_Statement!$C$21:$J$21</definedName>
    <definedName name="IS_Net_Margin">Income_Statement!$C$27:$J$27</definedName>
    <definedName name="IS_Op_Margin">Income_Statement!$C$26:$J$26</definedName>
    <definedName name="IS_Operating_Income">Income_Statement!$C$14:$J$14</definedName>
    <definedName name="IS_Pretax">Income_Statement!$C$19:$J$19</definedName>
    <definedName name="IS_RD">Income_Statement!$C$12:$J$12</definedName>
    <definedName name="IS_Revenue">Income_Statement!$C$7:$J$7</definedName>
    <definedName name="IS_SBC">Income_Statement!$C$30:$J$30</definedName>
    <definedName name="IS_SGA">Income_Statement!$C$13:$J$13</definedName>
    <definedName name="IS_Tax">Income_Statement!$C$20:$J$20</definedName>
    <definedName name="OEM_Growth" localSheetId="6">[1]Assumptions!$C$15</definedName>
    <definedName name="OEM_Growth">Assumptions!$C$15</definedName>
    <definedName name="_xlnm.Print_Area" localSheetId="2">Assumptions!$A$1:$F$66</definedName>
    <definedName name="_xlnm.Print_Area" localSheetId="8">Balance_Sheet!$A$1:$J$44</definedName>
    <definedName name="_xlnm.Print_Area" localSheetId="10">Capital_allocation!$A$1:$G$17</definedName>
    <definedName name="_xlnm.Print_Area" localSheetId="9">Cash_Flow!$A$1:$J$38</definedName>
    <definedName name="_xlnm.Print_Area" localSheetId="13">Checks!$A$1:$E$20</definedName>
    <definedName name="_xlnm.Print_Area" localSheetId="0">Cover!$A$1:$D$35</definedName>
    <definedName name="_xlnm.Print_Area" localSheetId="1">Dashboard!$A$1:$K$190</definedName>
    <definedName name="_xlnm.Print_Area" localSheetId="7">Debt_Schedule!$A$1:$J$17</definedName>
    <definedName name="_xlnm.Print_Area" localSheetId="3">Historical_Data!$A$1:$H$55</definedName>
    <definedName name="_xlnm.Print_Area" localSheetId="5">Income_Statement!$A$1:$J$33</definedName>
    <definedName name="_xlnm.Print_Area" localSheetId="12">Ratios!$A$1:$J$27</definedName>
    <definedName name="_xlnm.Print_Area" localSheetId="4">Revenue_Build!$A$1:$J$27</definedName>
    <definedName name="_xlnm.Print_Area" localSheetId="11">Valuation!$A$1:$H$49</definedName>
    <definedName name="_xlnm.Print_Area" localSheetId="6">Working_Capital!$A$1:$J$19</definedName>
    <definedName name="_xlnm.Print_Titles" localSheetId="2">Assumptions!$1:$4</definedName>
    <definedName name="_xlnm.Print_Titles" localSheetId="8">Balance_Sheet!$1:$4</definedName>
    <definedName name="_xlnm.Print_Titles" localSheetId="9">Cash_Flow!$1:$5</definedName>
    <definedName name="_xlnm.Print_Titles" localSheetId="1">Dashboard!$1:$3</definedName>
    <definedName name="_xlnm.Print_Titles" localSheetId="11">Valuation!$1:$4</definedName>
    <definedName name="ProViz_Growth" localSheetId="6">[1]Assumptions!$C$13</definedName>
    <definedName name="ProViz_Growth">Assumptions!$C$13</definedName>
    <definedName name="RB_Auto">Revenue_Build!$C$21:$J$21</definedName>
    <definedName name="RB_Compute">Revenue_Build!$C$16:$J$16</definedName>
    <definedName name="RB_DC">Revenue_Build!$C$18:$J$18</definedName>
    <definedName name="RB_DC_Mix">Revenue_Build!$C$27:$J$27</definedName>
    <definedName name="RB_Gaming">Revenue_Build!$C$19:$J$19</definedName>
    <definedName name="RB_Network">Revenue_Build!$C$17:$J$17</definedName>
    <definedName name="RB_OEM">Revenue_Build!$C$22:$J$22</definedName>
    <definedName name="RB_ProViz">Revenue_Build!$C$20:$J$20</definedName>
    <definedName name="RB_Total">Revenue_Build!$C$23:$J$23</definedName>
    <definedName name="RD_Pct" localSheetId="6">[1]Assumptions!$C$19</definedName>
    <definedName name="RD_Pct">Assumptions!$C$19</definedName>
    <definedName name="SBC_Pct" localSheetId="6">[1]Assumptions!$C$21</definedName>
    <definedName name="SBC_Pct">Assumptions!$C$21</definedName>
    <definedName name="SBC_Shares" localSheetId="6">[1]Assumptions!$C$32</definedName>
    <definedName name="SBC_Shares">Assumptions!$C$31</definedName>
    <definedName name="Scenario">Assumptions!$D$2</definedName>
    <definedName name="SGA_Pct" localSheetId="6">[1]Assumptions!$C$20</definedName>
    <definedName name="SGA_Pct">Assumptions!$C$20</definedName>
    <definedName name="Target_Cash_Pct">Assumptions!$C$34</definedName>
    <definedName name="Target_PE" localSheetId="6">[1]Assumptions!$C$34</definedName>
    <definedName name="Target_PE">Assumptions!$C$33</definedName>
    <definedName name="Tax_Rate" localSheetId="6">[1]Assumptions!$C$23</definedName>
    <definedName name="Tax_Rate">Assumptions!$C$23</definedName>
    <definedName name="Terminal_Growth" localSheetId="6">[1]Assumptions!$C$8</definedName>
    <definedName name="Terminal_Growth">Assumptions!$C$8</definedName>
    <definedName name="WACC" localSheetId="6">[1]Assumptions!$C$7</definedName>
    <definedName name="WACC">Assumptions!$C$7</definedName>
    <definedName name="WC_AP" localSheetId="6">Working_Capital!$C$15:$J$15</definedName>
    <definedName name="WC_AP">[2]Working_Capital!$C$15:$J$15</definedName>
    <definedName name="WC_AR" localSheetId="6">Working_Capital!$C$13:$J$13</definedName>
    <definedName name="WC_AR">[2]Working_Capital!$C$13:$J$13</definedName>
    <definedName name="WC_DNWC" localSheetId="6">Working_Capital!$C$19:$J$19</definedName>
    <definedName name="WC_DNWC">[2]Working_Capital!$C$19:$J$19</definedName>
    <definedName name="WC_Inv" localSheetId="6">Working_Capital!$C$14:$J$14</definedName>
    <definedName name="WC_Inv">[2]Working_Capital!$C$14:$J$14</definedName>
    <definedName name="WC_NWC" localSheetId="6">Working_Capital!$C$18:$J$18</definedName>
    <definedName name="WC_NWC">[2]Working_Capital!$C$18:$J$18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ns0:ext xmlns:ns0="http://schemas.openxmlformats.org/spreadsheetml/2006/main" xmlns:ns2="http://schemas.libreoffice.org/" uri="{7626C862-2A13-11E5-B345-FEFF819CDC9F}">
      <ns2:extCalcPr stringRefSyntax="ExcelA1"/>
    </ns0:ext>
  </extLst>
</workbook>
</file>

<file path=xl/calcChain.xml><?xml version="1.0" encoding="utf-8"?>
<calcChain xmlns="http://schemas.openxmlformats.org/spreadsheetml/2006/main">
  <c r="C7" i="3" l="1"/>
  <c r="H11" i="3"/>
  <c r="H12" i="3" s="1"/>
  <c r="H13" i="3" s="1"/>
  <c r="H14" i="3" s="1"/>
  <c r="C14" i="17"/>
  <c r="D13" i="17"/>
  <c r="E13" i="17"/>
  <c r="C13" i="17"/>
  <c r="E10" i="17"/>
  <c r="D10" i="17"/>
  <c r="C10" i="17"/>
  <c r="E9" i="17"/>
  <c r="D9" i="17"/>
  <c r="C9" i="17"/>
  <c r="E8" i="17"/>
  <c r="D8" i="17"/>
  <c r="C8" i="17"/>
  <c r="E11" i="9"/>
  <c r="D11" i="9"/>
  <c r="C11" i="9"/>
  <c r="E15" i="17"/>
  <c r="E18" i="17" s="1"/>
  <c r="D15" i="17"/>
  <c r="D20" i="9" s="1"/>
  <c r="C15" i="17"/>
  <c r="C18" i="17" s="1"/>
  <c r="E14" i="17"/>
  <c r="D14" i="17"/>
  <c r="D18" i="17" s="1"/>
  <c r="J10" i="17"/>
  <c r="I10" i="17"/>
  <c r="H10" i="17"/>
  <c r="G10" i="17"/>
  <c r="F10" i="17"/>
  <c r="J9" i="17"/>
  <c r="I9" i="17"/>
  <c r="H9" i="17"/>
  <c r="G9" i="17"/>
  <c r="F9" i="17"/>
  <c r="J8" i="17"/>
  <c r="I8" i="17"/>
  <c r="H8" i="17"/>
  <c r="G8" i="17"/>
  <c r="F8" i="17"/>
  <c r="C20" i="9" l="1"/>
  <c r="E20" i="9"/>
  <c r="D19" i="17"/>
  <c r="E19" i="17"/>
  <c r="E10" i="9" l="1"/>
  <c r="D10" i="9"/>
  <c r="C10" i="9"/>
  <c r="D18" i="10"/>
  <c r="E18" i="10"/>
  <c r="C18" i="10"/>
  <c r="G17" i="10"/>
  <c r="H17" i="10"/>
  <c r="I17" i="10"/>
  <c r="J17" i="10"/>
  <c r="C18" i="3"/>
  <c r="B45" i="3"/>
  <c r="C16" i="3"/>
  <c r="C10" i="3"/>
  <c r="C11" i="3"/>
  <c r="E2" i="3"/>
  <c r="B44" i="3"/>
  <c r="B43" i="3"/>
  <c r="B42" i="3"/>
  <c r="C12" i="15"/>
  <c r="C14" i="9"/>
  <c r="F17" i="10" l="1"/>
  <c r="C53" i="3"/>
  <c r="C54" i="3" s="1"/>
  <c r="C38" i="3"/>
  <c r="C12" i="8"/>
  <c r="D12" i="8" s="1"/>
  <c r="E12" i="8" s="1"/>
  <c r="F12" i="8" s="1"/>
  <c r="G12" i="8" s="1"/>
  <c r="H12" i="8" s="1"/>
  <c r="I12" i="8" s="1"/>
  <c r="J12" i="8" s="1"/>
  <c r="C52" i="4"/>
  <c r="D52" i="4"/>
  <c r="E52" i="4"/>
  <c r="F22" i="4"/>
  <c r="F23" i="10"/>
  <c r="G23" i="10"/>
  <c r="E10" i="8"/>
  <c r="D10" i="8"/>
  <c r="C10" i="8"/>
  <c r="C57" i="3"/>
  <c r="C56" i="3"/>
  <c r="C51" i="3"/>
  <c r="D65" i="3"/>
  <c r="D66" i="3" s="1"/>
  <c r="C65" i="3"/>
  <c r="C66" i="3" s="1"/>
  <c r="C59" i="3" l="1"/>
  <c r="C58" i="3"/>
  <c r="C35" i="3"/>
  <c r="C16" i="13" a="1"/>
  <c r="C16" i="13" s="1"/>
  <c r="D16" i="13" s="1"/>
  <c r="E37" i="4"/>
  <c r="E35" i="4" s="1"/>
  <c r="D37" i="4"/>
  <c r="D35" i="4" s="1"/>
  <c r="C37" i="4"/>
  <c r="C35" i="4" s="1"/>
  <c r="C30" i="10" s="1"/>
  <c r="C27" i="11" l="1"/>
  <c r="C25" i="11"/>
  <c r="G16" i="11"/>
  <c r="F16" i="11"/>
  <c r="E16" i="11"/>
  <c r="D16" i="11"/>
  <c r="E31" i="10"/>
  <c r="D31" i="10"/>
  <c r="C31" i="10"/>
  <c r="F30" i="10"/>
  <c r="E30" i="10"/>
  <c r="D30" i="10"/>
  <c r="E22" i="10"/>
  <c r="D22" i="10"/>
  <c r="C22" i="10"/>
  <c r="E21" i="10"/>
  <c r="D21" i="10"/>
  <c r="C21" i="10"/>
  <c r="E15" i="10"/>
  <c r="D15" i="10"/>
  <c r="C15" i="10"/>
  <c r="E10" i="10"/>
  <c r="D10" i="10"/>
  <c r="C10" i="10"/>
  <c r="E9" i="10"/>
  <c r="D9" i="10"/>
  <c r="C9" i="10"/>
  <c r="E8" i="10"/>
  <c r="D8" i="10"/>
  <c r="C8" i="10"/>
  <c r="E40" i="9"/>
  <c r="D40" i="9"/>
  <c r="C40" i="9"/>
  <c r="E24" i="9"/>
  <c r="D24" i="9"/>
  <c r="C24" i="9"/>
  <c r="J22" i="9"/>
  <c r="I22" i="9"/>
  <c r="H22" i="9"/>
  <c r="G22" i="9"/>
  <c r="F22" i="9"/>
  <c r="E22" i="9"/>
  <c r="D22" i="9"/>
  <c r="C22" i="9"/>
  <c r="E15" i="9"/>
  <c r="F15" i="9" s="1"/>
  <c r="G15" i="9" s="1"/>
  <c r="H15" i="9" s="1"/>
  <c r="I15" i="9" s="1"/>
  <c r="J15" i="9" s="1"/>
  <c r="D15" i="9"/>
  <c r="C15" i="9"/>
  <c r="E14" i="9"/>
  <c r="D14" i="9"/>
  <c r="E9" i="9"/>
  <c r="D9" i="9"/>
  <c r="C9" i="9"/>
  <c r="E8" i="9"/>
  <c r="D8" i="9"/>
  <c r="C8" i="9"/>
  <c r="E11" i="8"/>
  <c r="F8" i="8" s="1"/>
  <c r="D11" i="8"/>
  <c r="E8" i="8" s="1"/>
  <c r="C11" i="8"/>
  <c r="D8" i="8" s="1"/>
  <c r="J9" i="8"/>
  <c r="I9" i="8"/>
  <c r="I23" i="10" s="1"/>
  <c r="H9" i="8"/>
  <c r="H23" i="10" s="1"/>
  <c r="G9" i="8"/>
  <c r="E9" i="8"/>
  <c r="E23" i="10" s="1"/>
  <c r="D9" i="8"/>
  <c r="D23" i="10" s="1"/>
  <c r="C9" i="8"/>
  <c r="C23" i="10" s="1"/>
  <c r="C8" i="8"/>
  <c r="E30" i="6"/>
  <c r="D30" i="6"/>
  <c r="C30" i="6"/>
  <c r="E24" i="6"/>
  <c r="D24" i="6"/>
  <c r="C24" i="6"/>
  <c r="E20" i="6"/>
  <c r="D20" i="6"/>
  <c r="C20" i="6"/>
  <c r="E18" i="6"/>
  <c r="D18" i="6"/>
  <c r="C18" i="6"/>
  <c r="E13" i="6"/>
  <c r="D13" i="6"/>
  <c r="C13" i="6"/>
  <c r="E12" i="6"/>
  <c r="D12" i="6"/>
  <c r="C12" i="6"/>
  <c r="E9" i="6"/>
  <c r="D9" i="6"/>
  <c r="C9" i="6"/>
  <c r="F8" i="6"/>
  <c r="E8" i="6"/>
  <c r="E20" i="2" s="1"/>
  <c r="D8" i="6"/>
  <c r="D20" i="2" s="1"/>
  <c r="C8" i="6"/>
  <c r="C20" i="2" s="1"/>
  <c r="E22" i="5"/>
  <c r="D22" i="5"/>
  <c r="C22" i="5"/>
  <c r="E21" i="5"/>
  <c r="D21" i="5"/>
  <c r="C21" i="5"/>
  <c r="E20" i="5"/>
  <c r="D20" i="5"/>
  <c r="C20" i="5"/>
  <c r="E19" i="5"/>
  <c r="D19" i="5"/>
  <c r="C19" i="5"/>
  <c r="E17" i="5"/>
  <c r="D17" i="5"/>
  <c r="C17" i="5"/>
  <c r="E16" i="5"/>
  <c r="D16" i="5"/>
  <c r="C16" i="5"/>
  <c r="F13" i="5"/>
  <c r="G13" i="5" s="1"/>
  <c r="H13" i="5" s="1"/>
  <c r="I13" i="5" s="1"/>
  <c r="J13" i="5" s="1"/>
  <c r="F12" i="5"/>
  <c r="G12" i="5" s="1"/>
  <c r="H12" i="5" s="1"/>
  <c r="I12" i="5" s="1"/>
  <c r="J12" i="5" s="1"/>
  <c r="F11" i="5"/>
  <c r="F10" i="5"/>
  <c r="G10" i="5" s="1"/>
  <c r="H10" i="5" s="1"/>
  <c r="I10" i="5" s="1"/>
  <c r="J10" i="5" s="1"/>
  <c r="E55" i="4"/>
  <c r="D55" i="4"/>
  <c r="C55" i="4"/>
  <c r="E37" i="9"/>
  <c r="D37" i="9"/>
  <c r="C37" i="9"/>
  <c r="C189" i="2"/>
  <c r="C187" i="2"/>
  <c r="C185" i="2"/>
  <c r="C32" i="2"/>
  <c r="C30" i="2"/>
  <c r="C25" i="2"/>
  <c r="C18" i="2"/>
  <c r="H16" i="11" l="1"/>
  <c r="C7" i="15"/>
  <c r="F16" i="8"/>
  <c r="F17" i="8" s="1"/>
  <c r="F16" i="6" s="1"/>
  <c r="D7" i="13"/>
  <c r="G8" i="6"/>
  <c r="G20" i="2" s="1"/>
  <c r="F36" i="9"/>
  <c r="F22" i="10" s="1"/>
  <c r="C12" i="9"/>
  <c r="D12" i="9"/>
  <c r="D13" i="9" s="1"/>
  <c r="D16" i="9" s="1"/>
  <c r="D17" i="9" s="1"/>
  <c r="F32" i="9"/>
  <c r="F20" i="5"/>
  <c r="C11" i="10"/>
  <c r="C12" i="10" s="1"/>
  <c r="C33" i="10" s="1"/>
  <c r="F11" i="8"/>
  <c r="C24" i="10"/>
  <c r="C25" i="10" s="1"/>
  <c r="D24" i="10"/>
  <c r="D25" i="10" s="1"/>
  <c r="E24" i="10"/>
  <c r="E25" i="10" s="1"/>
  <c r="C18" i="13" a="1"/>
  <c r="C18" i="13" s="1"/>
  <c r="D18" i="13" s="1"/>
  <c r="C18" i="5"/>
  <c r="C23" i="5" s="1"/>
  <c r="C7" i="6" s="1"/>
  <c r="C17" i="2" s="1"/>
  <c r="E18" i="5"/>
  <c r="E23" i="5" s="1"/>
  <c r="E26" i="12" s="1"/>
  <c r="C22" i="12"/>
  <c r="D22" i="12"/>
  <c r="D11" i="10"/>
  <c r="D12" i="10" s="1"/>
  <c r="D33" i="10" s="1"/>
  <c r="E11" i="10"/>
  <c r="E12" i="10" s="1"/>
  <c r="E33" i="10" s="1"/>
  <c r="F8" i="5"/>
  <c r="G8" i="5" s="1"/>
  <c r="H8" i="5" s="1"/>
  <c r="I8" i="5" s="1"/>
  <c r="J8" i="5" s="1"/>
  <c r="F9" i="5"/>
  <c r="G9" i="5" s="1"/>
  <c r="H9" i="5" s="1"/>
  <c r="I9" i="5" s="1"/>
  <c r="J9" i="5" s="1"/>
  <c r="F20" i="2"/>
  <c r="F21" i="5"/>
  <c r="G21" i="5" s="1"/>
  <c r="H21" i="5" s="1"/>
  <c r="I21" i="5" s="1"/>
  <c r="J21" i="5" s="1"/>
  <c r="F19" i="5"/>
  <c r="G19" i="5" s="1"/>
  <c r="E21" i="9"/>
  <c r="F21" i="9" s="1"/>
  <c r="G21" i="9" s="1"/>
  <c r="H21" i="9" s="1"/>
  <c r="I21" i="9" s="1"/>
  <c r="J21" i="9" s="1"/>
  <c r="C21" i="9"/>
  <c r="C23" i="9" s="1"/>
  <c r="G11" i="5"/>
  <c r="H11" i="5" s="1"/>
  <c r="I11" i="5" s="1"/>
  <c r="J11" i="5" s="1"/>
  <c r="D21" i="9"/>
  <c r="D23" i="9" s="1"/>
  <c r="D18" i="5"/>
  <c r="E22" i="12"/>
  <c r="F22" i="5"/>
  <c r="G22" i="5" s="1"/>
  <c r="H22" i="5" s="1"/>
  <c r="I22" i="5" s="1"/>
  <c r="J22" i="5" s="1"/>
  <c r="J23" i="10"/>
  <c r="C7" i="13"/>
  <c r="E12" i="9" l="1"/>
  <c r="E13" i="9" s="1"/>
  <c r="F24" i="9"/>
  <c r="F13" i="8"/>
  <c r="F17" i="6" s="1"/>
  <c r="F18" i="6" s="1"/>
  <c r="C13" i="9"/>
  <c r="C10" i="6"/>
  <c r="C14" i="6" s="1"/>
  <c r="G8" i="8"/>
  <c r="G11" i="8" s="1"/>
  <c r="G24" i="9" s="1"/>
  <c r="E27" i="5"/>
  <c r="C27" i="12"/>
  <c r="C26" i="12"/>
  <c r="C23" i="12"/>
  <c r="C27" i="5"/>
  <c r="G20" i="5"/>
  <c r="H20" i="5" s="1"/>
  <c r="I20" i="5" s="1"/>
  <c r="J20" i="5" s="1"/>
  <c r="F16" i="5"/>
  <c r="G16" i="5" s="1"/>
  <c r="F17" i="5"/>
  <c r="G17" i="5" s="1"/>
  <c r="H17" i="5" s="1"/>
  <c r="I17" i="5" s="1"/>
  <c r="J17" i="5" s="1"/>
  <c r="C17" i="13" a="1"/>
  <c r="C17" i="13" s="1"/>
  <c r="D17" i="13" s="1"/>
  <c r="D29" i="10"/>
  <c r="D38" i="10" s="1"/>
  <c r="E29" i="10"/>
  <c r="E38" i="10" s="1"/>
  <c r="C29" i="10"/>
  <c r="C38" i="10" s="1"/>
  <c r="H8" i="6"/>
  <c r="H20" i="2" s="1"/>
  <c r="D25" i="9"/>
  <c r="D26" i="9" s="1"/>
  <c r="D43" i="9" s="1"/>
  <c r="D44" i="9" s="1"/>
  <c r="D20" i="12"/>
  <c r="H19" i="5"/>
  <c r="D23" i="5"/>
  <c r="E26" i="5" s="1"/>
  <c r="E18" i="2" s="1"/>
  <c r="E7" i="6"/>
  <c r="C25" i="9"/>
  <c r="C26" i="9" s="1"/>
  <c r="C43" i="9" s="1"/>
  <c r="E20" i="12"/>
  <c r="E27" i="12"/>
  <c r="C20" i="12"/>
  <c r="C21" i="12"/>
  <c r="C19" i="2"/>
  <c r="C8" i="12"/>
  <c r="E23" i="9"/>
  <c r="F12" i="9" l="1"/>
  <c r="G12" i="9" s="1"/>
  <c r="H12" i="9" s="1"/>
  <c r="I12" i="9" s="1"/>
  <c r="J12" i="9" s="1"/>
  <c r="G13" i="8"/>
  <c r="G17" i="6" s="1"/>
  <c r="H8" i="8"/>
  <c r="H11" i="8" s="1"/>
  <c r="H13" i="8" s="1"/>
  <c r="H17" i="6" s="1"/>
  <c r="I8" i="6"/>
  <c r="I20" i="2" s="1"/>
  <c r="F18" i="5"/>
  <c r="F23" i="5" s="1"/>
  <c r="F26" i="12" s="1"/>
  <c r="C19" i="6"/>
  <c r="C21" i="2"/>
  <c r="C31" i="6"/>
  <c r="C9" i="12"/>
  <c r="C26" i="6"/>
  <c r="C22" i="2" s="1"/>
  <c r="C33" i="6"/>
  <c r="C12" i="12" s="1"/>
  <c r="E10" i="6"/>
  <c r="E14" i="6" s="1"/>
  <c r="E17" i="2"/>
  <c r="E23" i="12"/>
  <c r="D26" i="5"/>
  <c r="D18" i="2" s="1"/>
  <c r="D7" i="6"/>
  <c r="D27" i="12"/>
  <c r="E21" i="12"/>
  <c r="E16" i="9"/>
  <c r="F16" i="9" s="1"/>
  <c r="G16" i="9" s="1"/>
  <c r="H16" i="9" s="1"/>
  <c r="I16" i="9" s="1"/>
  <c r="J16" i="9" s="1"/>
  <c r="D27" i="5"/>
  <c r="H16" i="5"/>
  <c r="G18" i="5"/>
  <c r="D26" i="12"/>
  <c r="I19" i="5"/>
  <c r="E25" i="9"/>
  <c r="F25" i="9" s="1"/>
  <c r="G25" i="9" s="1"/>
  <c r="H25" i="9" s="1"/>
  <c r="I25" i="9" s="1"/>
  <c r="J25" i="9" s="1"/>
  <c r="H24" i="9" l="1"/>
  <c r="I8" i="8"/>
  <c r="E26" i="9"/>
  <c r="E43" i="9" s="1"/>
  <c r="J8" i="6"/>
  <c r="J20" i="2" s="1"/>
  <c r="I16" i="5"/>
  <c r="H18" i="5"/>
  <c r="E17" i="9"/>
  <c r="J19" i="5"/>
  <c r="F27" i="5"/>
  <c r="G23" i="5"/>
  <c r="G27" i="5" s="1"/>
  <c r="F26" i="5"/>
  <c r="F18" i="2" s="1"/>
  <c r="F7" i="6"/>
  <c r="F27" i="12"/>
  <c r="E19" i="2"/>
  <c r="E8" i="12"/>
  <c r="C32" i="6"/>
  <c r="C10" i="12"/>
  <c r="D17" i="2"/>
  <c r="D10" i="6"/>
  <c r="D14" i="6" s="1"/>
  <c r="D23" i="12"/>
  <c r="D21" i="12"/>
  <c r="C21" i="6"/>
  <c r="C17" i="12"/>
  <c r="E44" i="9" l="1"/>
  <c r="C10" i="15"/>
  <c r="F13" i="17"/>
  <c r="C16" i="15"/>
  <c r="I11" i="8"/>
  <c r="I13" i="8" s="1"/>
  <c r="I17" i="6" s="1"/>
  <c r="B11" i="2"/>
  <c r="E33" i="6"/>
  <c r="E12" i="12" s="1"/>
  <c r="E9" i="12"/>
  <c r="E21" i="2"/>
  <c r="E31" i="6"/>
  <c r="E26" i="6"/>
  <c r="E22" i="2" s="1"/>
  <c r="E19" i="6"/>
  <c r="C27" i="6"/>
  <c r="C15" i="12"/>
  <c r="C11" i="12"/>
  <c r="C23" i="2"/>
  <c r="C27" i="2" s="1"/>
  <c r="C25" i="6"/>
  <c r="C24" i="2" s="1"/>
  <c r="H23" i="5"/>
  <c r="H26" i="12" s="1"/>
  <c r="D19" i="2"/>
  <c r="D8" i="12"/>
  <c r="F12" i="6"/>
  <c r="F30" i="6"/>
  <c r="F13" i="6"/>
  <c r="F9" i="6"/>
  <c r="F17" i="2"/>
  <c r="F15" i="10"/>
  <c r="G26" i="5"/>
  <c r="G18" i="2" s="1"/>
  <c r="G7" i="6"/>
  <c r="G13" i="17" s="1"/>
  <c r="G27" i="12"/>
  <c r="G26" i="12"/>
  <c r="I18" i="5"/>
  <c r="J16" i="5"/>
  <c r="J18" i="5" s="1"/>
  <c r="F10" i="6" l="1"/>
  <c r="F8" i="12" s="1"/>
  <c r="F15" i="17"/>
  <c r="F20" i="9" s="1"/>
  <c r="F23" i="9" s="1"/>
  <c r="F26" i="9" s="1"/>
  <c r="F14" i="17"/>
  <c r="F11" i="9" s="1"/>
  <c r="G10" i="9"/>
  <c r="F10" i="9"/>
  <c r="D16" i="15"/>
  <c r="D10" i="15"/>
  <c r="F14" i="6"/>
  <c r="J8" i="8"/>
  <c r="I24" i="9"/>
  <c r="F9" i="10"/>
  <c r="D11" i="11" s="1"/>
  <c r="G30" i="6"/>
  <c r="G13" i="6"/>
  <c r="G9" i="6"/>
  <c r="G17" i="2"/>
  <c r="G15" i="10"/>
  <c r="G12" i="6"/>
  <c r="E21" i="6"/>
  <c r="E17" i="12"/>
  <c r="E10" i="12"/>
  <c r="E32" i="6"/>
  <c r="D19" i="6"/>
  <c r="D33" i="6"/>
  <c r="D12" i="12" s="1"/>
  <c r="D31" i="6"/>
  <c r="D26" i="6"/>
  <c r="D22" i="2" s="1"/>
  <c r="D21" i="2"/>
  <c r="D9" i="12"/>
  <c r="F23" i="12"/>
  <c r="D12" i="11"/>
  <c r="J23" i="5"/>
  <c r="J27" i="5" s="1"/>
  <c r="F34" i="9"/>
  <c r="F10" i="10"/>
  <c r="H26" i="5"/>
  <c r="H18" i="2" s="1"/>
  <c r="H7" i="6"/>
  <c r="H13" i="17" s="1"/>
  <c r="H27" i="12"/>
  <c r="H27" i="5"/>
  <c r="I23" i="5"/>
  <c r="I26" i="12" s="1"/>
  <c r="F19" i="2" l="1"/>
  <c r="F18" i="17"/>
  <c r="F19" i="17" s="1"/>
  <c r="F11" i="10" s="1"/>
  <c r="G10" i="6"/>
  <c r="G14" i="17"/>
  <c r="G15" i="17"/>
  <c r="G20" i="9" s="1"/>
  <c r="G23" i="9" s="1"/>
  <c r="G26" i="9" s="1"/>
  <c r="H10" i="9"/>
  <c r="E10" i="15"/>
  <c r="E16" i="15"/>
  <c r="G14" i="6"/>
  <c r="J11" i="8"/>
  <c r="J24" i="9" s="1"/>
  <c r="F33" i="6"/>
  <c r="F14" i="9"/>
  <c r="G9" i="10" s="1"/>
  <c r="G14" i="9" s="1"/>
  <c r="C16" i="9"/>
  <c r="C17" i="9" s="1"/>
  <c r="C44" i="9" s="1"/>
  <c r="D8" i="13"/>
  <c r="C8" i="13"/>
  <c r="E12" i="11"/>
  <c r="G23" i="12"/>
  <c r="H30" i="6"/>
  <c r="H13" i="6"/>
  <c r="H9" i="6"/>
  <c r="H17" i="2"/>
  <c r="H12" i="6"/>
  <c r="H15" i="10"/>
  <c r="E15" i="12"/>
  <c r="E25" i="6"/>
  <c r="E24" i="2" s="1"/>
  <c r="E16" i="12"/>
  <c r="E11" i="12"/>
  <c r="E27" i="6"/>
  <c r="E23" i="2"/>
  <c r="E27" i="2" s="1"/>
  <c r="I27" i="5"/>
  <c r="D21" i="6"/>
  <c r="D17" i="12"/>
  <c r="F9" i="12"/>
  <c r="D8" i="11"/>
  <c r="F31" i="6"/>
  <c r="F21" i="2"/>
  <c r="F26" i="6"/>
  <c r="F19" i="6"/>
  <c r="J7" i="6"/>
  <c r="J13" i="17" s="1"/>
  <c r="J26" i="5"/>
  <c r="J18" i="2" s="1"/>
  <c r="J27" i="12"/>
  <c r="D32" i="6"/>
  <c r="D10" i="12"/>
  <c r="I26" i="5"/>
  <c r="I18" i="2" s="1"/>
  <c r="I7" i="6"/>
  <c r="I13" i="17" s="1"/>
  <c r="I27" i="12"/>
  <c r="G8" i="12"/>
  <c r="G19" i="2"/>
  <c r="J26" i="12"/>
  <c r="D12" i="13"/>
  <c r="C12" i="13"/>
  <c r="G34" i="9"/>
  <c r="G10" i="10"/>
  <c r="G11" i="9" l="1"/>
  <c r="G18" i="17"/>
  <c r="G19" i="17" s="1"/>
  <c r="G11" i="10" s="1"/>
  <c r="I10" i="9"/>
  <c r="H10" i="6"/>
  <c r="H14" i="6" s="1"/>
  <c r="H14" i="17"/>
  <c r="H15" i="17"/>
  <c r="H20" i="9" s="1"/>
  <c r="H23" i="9" s="1"/>
  <c r="H26" i="9" s="1"/>
  <c r="J10" i="9"/>
  <c r="F16" i="15"/>
  <c r="F10" i="15"/>
  <c r="G16" i="15"/>
  <c r="G10" i="15"/>
  <c r="J13" i="8"/>
  <c r="J17" i="6" s="1"/>
  <c r="C16" i="12"/>
  <c r="H9" i="10"/>
  <c r="H14" i="9" s="1"/>
  <c r="G33" i="6"/>
  <c r="G12" i="12" s="1"/>
  <c r="E11" i="11"/>
  <c r="D13" i="11"/>
  <c r="H10" i="10"/>
  <c r="H34" i="9"/>
  <c r="F10" i="12"/>
  <c r="F32" i="6"/>
  <c r="D9" i="11"/>
  <c r="D10" i="11" s="1"/>
  <c r="D9" i="13"/>
  <c r="C9" i="13"/>
  <c r="F22" i="2"/>
  <c r="D27" i="6"/>
  <c r="D25" i="6"/>
  <c r="D24" i="2" s="1"/>
  <c r="D15" i="12"/>
  <c r="D16" i="12"/>
  <c r="D11" i="12"/>
  <c r="D23" i="2"/>
  <c r="D27" i="2" s="1"/>
  <c r="H8" i="12"/>
  <c r="H19" i="2"/>
  <c r="C32" i="11"/>
  <c r="C33" i="11" s="1"/>
  <c r="C34" i="11" s="1"/>
  <c r="C35" i="11" s="1"/>
  <c r="F12" i="12"/>
  <c r="F20" i="6"/>
  <c r="F17" i="12" s="1"/>
  <c r="I13" i="6"/>
  <c r="I9" i="6"/>
  <c r="I17" i="2"/>
  <c r="I15" i="10"/>
  <c r="I12" i="6"/>
  <c r="I30" i="6"/>
  <c r="F12" i="11"/>
  <c r="H23" i="12"/>
  <c r="G9" i="12"/>
  <c r="G31" i="6"/>
  <c r="G26" i="6"/>
  <c r="G22" i="2" s="1"/>
  <c r="G21" i="2"/>
  <c r="E8" i="11"/>
  <c r="J13" i="6"/>
  <c r="J9" i="6"/>
  <c r="F7" i="2"/>
  <c r="B7" i="2"/>
  <c r="J15" i="10"/>
  <c r="J12" i="6"/>
  <c r="J30" i="6"/>
  <c r="J17" i="2"/>
  <c r="I10" i="6" l="1"/>
  <c r="I8" i="12" s="1"/>
  <c r="I15" i="17"/>
  <c r="I20" i="9" s="1"/>
  <c r="I14" i="17"/>
  <c r="J15" i="17"/>
  <c r="J20" i="9" s="1"/>
  <c r="J23" i="9" s="1"/>
  <c r="J26" i="9" s="1"/>
  <c r="J14" i="17"/>
  <c r="H11" i="9"/>
  <c r="H18" i="17"/>
  <c r="H19" i="17" s="1"/>
  <c r="H11" i="10" s="1"/>
  <c r="I9" i="10"/>
  <c r="I14" i="9" s="1"/>
  <c r="H33" i="6"/>
  <c r="H12" i="12" s="1"/>
  <c r="F11" i="11"/>
  <c r="D14" i="11"/>
  <c r="F25" i="2" s="1"/>
  <c r="I10" i="10"/>
  <c r="I34" i="9"/>
  <c r="E9" i="11"/>
  <c r="E10" i="11" s="1"/>
  <c r="I23" i="12"/>
  <c r="G12" i="11"/>
  <c r="J10" i="10"/>
  <c r="J34" i="9"/>
  <c r="E13" i="11"/>
  <c r="H26" i="6"/>
  <c r="H22" i="2" s="1"/>
  <c r="H31" i="6"/>
  <c r="H9" i="12"/>
  <c r="F8" i="11"/>
  <c r="H21" i="2"/>
  <c r="J10" i="6"/>
  <c r="J14" i="6" s="1"/>
  <c r="J23" i="12"/>
  <c r="H12" i="11"/>
  <c r="I23" i="9"/>
  <c r="I26" i="9" s="1"/>
  <c r="F21" i="6"/>
  <c r="F35" i="10" s="1"/>
  <c r="G32" i="6"/>
  <c r="G10" i="12"/>
  <c r="D11" i="13"/>
  <c r="C11" i="13"/>
  <c r="I19" i="2" l="1"/>
  <c r="I14" i="6"/>
  <c r="I31" i="6" s="1"/>
  <c r="J11" i="9"/>
  <c r="J18" i="17"/>
  <c r="I11" i="9"/>
  <c r="I18" i="17"/>
  <c r="I19" i="17" s="1"/>
  <c r="I11" i="10" s="1"/>
  <c r="G11" i="11"/>
  <c r="J9" i="10"/>
  <c r="D17" i="11"/>
  <c r="E14" i="11"/>
  <c r="G25" i="2" s="1"/>
  <c r="H32" i="6"/>
  <c r="H10" i="12"/>
  <c r="F13" i="11"/>
  <c r="J8" i="12"/>
  <c r="J19" i="2"/>
  <c r="F11" i="12"/>
  <c r="F23" i="2"/>
  <c r="F27" i="2" s="1"/>
  <c r="F27" i="6"/>
  <c r="F8" i="10"/>
  <c r="F12" i="10" s="1"/>
  <c r="F33" i="10" s="1"/>
  <c r="F33" i="9"/>
  <c r="F9" i="11"/>
  <c r="F10" i="11" s="1"/>
  <c r="I21" i="2" l="1"/>
  <c r="I26" i="6"/>
  <c r="I22" i="2" s="1"/>
  <c r="I9" i="12"/>
  <c r="G8" i="11"/>
  <c r="I33" i="6"/>
  <c r="I12" i="12" s="1"/>
  <c r="C8" i="15"/>
  <c r="D10" i="13"/>
  <c r="J19" i="17"/>
  <c r="J11" i="10" s="1"/>
  <c r="C11" i="15"/>
  <c r="C13" i="15" s="1"/>
  <c r="J33" i="6"/>
  <c r="J12" i="12" s="1"/>
  <c r="H11" i="11"/>
  <c r="J14" i="9"/>
  <c r="F14" i="11"/>
  <c r="F17" i="11" s="1"/>
  <c r="E17" i="11"/>
  <c r="H13" i="11"/>
  <c r="J31" i="6"/>
  <c r="J26" i="6"/>
  <c r="J21" i="2"/>
  <c r="J9" i="12"/>
  <c r="H8" i="11"/>
  <c r="G13" i="11"/>
  <c r="G9" i="11"/>
  <c r="G10" i="11" s="1"/>
  <c r="I10" i="12"/>
  <c r="I32" i="6"/>
  <c r="D12" i="15" l="1"/>
  <c r="F21" i="10"/>
  <c r="F25" i="10" s="1"/>
  <c r="H25" i="2"/>
  <c r="H9" i="11"/>
  <c r="H10" i="11" s="1"/>
  <c r="H14" i="11" s="1"/>
  <c r="C21" i="11" s="1"/>
  <c r="C22" i="11" s="1"/>
  <c r="C23" i="11" s="1"/>
  <c r="J10" i="12"/>
  <c r="J32" i="6"/>
  <c r="D11" i="2"/>
  <c r="J22" i="2"/>
  <c r="F20" i="12"/>
  <c r="F21" i="12"/>
  <c r="C10" i="13"/>
  <c r="G14" i="11"/>
  <c r="F35" i="9" l="1"/>
  <c r="F37" i="9" s="1"/>
  <c r="F15" i="12" s="1"/>
  <c r="F36" i="10"/>
  <c r="F40" i="9" s="1"/>
  <c r="G36" i="9" s="1"/>
  <c r="G22" i="10" s="1"/>
  <c r="F26" i="10"/>
  <c r="C15" i="15" s="1"/>
  <c r="C17" i="15" s="1"/>
  <c r="F16" i="10" s="1"/>
  <c r="H17" i="11"/>
  <c r="J25" i="2"/>
  <c r="H11" i="2"/>
  <c r="G17" i="11"/>
  <c r="I25" i="2"/>
  <c r="C20" i="11" l="1"/>
  <c r="C24" i="11" s="1"/>
  <c r="F24" i="6"/>
  <c r="F25" i="6" s="1"/>
  <c r="F24" i="2" s="1"/>
  <c r="F43" i="9"/>
  <c r="G32" i="9"/>
  <c r="F18" i="10"/>
  <c r="F29" i="10" s="1"/>
  <c r="F31" i="10" s="1"/>
  <c r="F9" i="9"/>
  <c r="C36" i="11" l="1"/>
  <c r="C37" i="11" s="1"/>
  <c r="F38" i="10"/>
  <c r="G30" i="10"/>
  <c r="D7" i="15" s="1"/>
  <c r="F8" i="9"/>
  <c r="F22" i="12" s="1"/>
  <c r="D186" i="2"/>
  <c r="C186" i="2"/>
  <c r="C39" i="11"/>
  <c r="D185" i="2"/>
  <c r="C29" i="2" l="1"/>
  <c r="G16" i="8"/>
  <c r="G17" i="8" s="1"/>
  <c r="G16" i="6" s="1"/>
  <c r="G18" i="6" s="1"/>
  <c r="G19" i="6" s="1"/>
  <c r="F13" i="9"/>
  <c r="F17" i="9" s="1"/>
  <c r="F16" i="12" s="1"/>
  <c r="J11" i="2"/>
  <c r="D187" i="2"/>
  <c r="C26" i="11"/>
  <c r="C28" i="11" s="1"/>
  <c r="C19" i="13"/>
  <c r="D19" i="13" s="1"/>
  <c r="C14" i="13"/>
  <c r="D14" i="13"/>
  <c r="C188" i="2"/>
  <c r="H9" i="3" l="1"/>
  <c r="G20" i="6"/>
  <c r="G17" i="12" s="1"/>
  <c r="F44" i="9"/>
  <c r="C31" i="2"/>
  <c r="D188" i="2"/>
  <c r="D189" i="2"/>
  <c r="H7" i="2"/>
  <c r="C33" i="2"/>
  <c r="G21" i="6" l="1"/>
  <c r="G35" i="10" s="1"/>
  <c r="G27" i="6" l="1"/>
  <c r="G11" i="12"/>
  <c r="G23" i="2"/>
  <c r="G27" i="2" s="1"/>
  <c r="G33" i="9"/>
  <c r="G8" i="10"/>
  <c r="G12" i="10" s="1"/>
  <c r="G33" i="10" l="1"/>
  <c r="D8" i="15" s="1"/>
  <c r="D11" i="15" s="1"/>
  <c r="D13" i="15" s="1"/>
  <c r="G21" i="10" l="1"/>
  <c r="G36" i="10" s="1"/>
  <c r="G40" i="9" s="1"/>
  <c r="G21" i="12"/>
  <c r="G20" i="12"/>
  <c r="G35" i="9" l="1"/>
  <c r="G37" i="9" s="1"/>
  <c r="H32" i="9" s="1"/>
  <c r="G25" i="10"/>
  <c r="G26" i="10" s="1"/>
  <c r="D15" i="15" s="1"/>
  <c r="D17" i="15" s="1"/>
  <c r="G16" i="10" s="1"/>
  <c r="H36" i="9"/>
  <c r="H22" i="10" s="1"/>
  <c r="G24" i="6"/>
  <c r="G25" i="6" s="1"/>
  <c r="G24" i="2" s="1"/>
  <c r="G18" i="10" l="1"/>
  <c r="G29" i="10" s="1"/>
  <c r="G31" i="10" s="1"/>
  <c r="H30" i="10" s="1"/>
  <c r="G43" i="9"/>
  <c r="G15" i="12"/>
  <c r="G9" i="9"/>
  <c r="E7" i="15" l="1"/>
  <c r="H16" i="8"/>
  <c r="H17" i="8" s="1"/>
  <c r="H16" i="6" s="1"/>
  <c r="H18" i="6" s="1"/>
  <c r="H19" i="6" s="1"/>
  <c r="H20" i="6" s="1"/>
  <c r="H17" i="12" s="1"/>
  <c r="G38" i="10"/>
  <c r="G8" i="9"/>
  <c r="G13" i="9" l="1"/>
  <c r="G17" i="9" s="1"/>
  <c r="G22" i="12"/>
  <c r="H21" i="6"/>
  <c r="H8" i="10" s="1"/>
  <c r="H12" i="10" s="1"/>
  <c r="G44" i="9" l="1"/>
  <c r="G16" i="12"/>
  <c r="H23" i="2"/>
  <c r="H27" i="2" s="1"/>
  <c r="H11" i="12"/>
  <c r="H35" i="10"/>
  <c r="H27" i="6"/>
  <c r="H33" i="9"/>
  <c r="H33" i="10"/>
  <c r="E8" i="15" s="1"/>
  <c r="E11" i="15" s="1"/>
  <c r="E13" i="15" s="1"/>
  <c r="H21" i="10" s="1"/>
  <c r="H25" i="10" s="1"/>
  <c r="H36" i="10" l="1"/>
  <c r="H40" i="9" s="1"/>
  <c r="I36" i="9" s="1"/>
  <c r="H35" i="9"/>
  <c r="H37" i="9" s="1"/>
  <c r="H21" i="12"/>
  <c r="H20" i="12"/>
  <c r="H43" i="9" l="1"/>
  <c r="H15" i="12"/>
  <c r="I32" i="9"/>
  <c r="I22" i="10"/>
  <c r="H24" i="6"/>
  <c r="H25" i="6" s="1"/>
  <c r="H24" i="2" s="1"/>
  <c r="H26" i="10"/>
  <c r="E15" i="15" l="1"/>
  <c r="E17" i="15" s="1"/>
  <c r="H16" i="10" s="1"/>
  <c r="H18" i="10" l="1"/>
  <c r="H9" i="9"/>
  <c r="H29" i="10" l="1"/>
  <c r="H31" i="10" s="1"/>
  <c r="H8" i="9" l="1"/>
  <c r="I30" i="10"/>
  <c r="H38" i="10"/>
  <c r="I16" i="8" l="1"/>
  <c r="I17" i="8" s="1"/>
  <c r="I16" i="6" s="1"/>
  <c r="I18" i="6" s="1"/>
  <c r="I19" i="6" s="1"/>
  <c r="I20" i="6" s="1"/>
  <c r="I17" i="12" s="1"/>
  <c r="F7" i="15"/>
  <c r="H22" i="12"/>
  <c r="H13" i="9"/>
  <c r="H17" i="9" s="1"/>
  <c r="I21" i="6" l="1"/>
  <c r="I35" i="10" s="1"/>
  <c r="H44" i="9"/>
  <c r="H16" i="12"/>
  <c r="I11" i="12" l="1"/>
  <c r="I23" i="2"/>
  <c r="I27" i="2" s="1"/>
  <c r="I8" i="10"/>
  <c r="I12" i="10" s="1"/>
  <c r="I33" i="10" s="1"/>
  <c r="I33" i="9"/>
  <c r="I27" i="6"/>
  <c r="I21" i="12" l="1"/>
  <c r="F8" i="15"/>
  <c r="F11" i="15" s="1"/>
  <c r="F13" i="15" s="1"/>
  <c r="I21" i="10" s="1"/>
  <c r="I25" i="10" s="1"/>
  <c r="I26" i="10" s="1"/>
  <c r="I20" i="12"/>
  <c r="I35" i="9" l="1"/>
  <c r="I37" i="9" s="1"/>
  <c r="J32" i="9" s="1"/>
  <c r="I36" i="10"/>
  <c r="I40" i="9" s="1"/>
  <c r="J36" i="9" s="1"/>
  <c r="J22" i="10" s="1"/>
  <c r="F15" i="15"/>
  <c r="F17" i="15" s="1"/>
  <c r="I16" i="10" s="1"/>
  <c r="I18" i="10" l="1"/>
  <c r="I9" i="9"/>
  <c r="I15" i="12"/>
  <c r="I43" i="9"/>
  <c r="I24" i="6"/>
  <c r="I25" i="6" s="1"/>
  <c r="I24" i="2" s="1"/>
  <c r="I29" i="10" l="1"/>
  <c r="I31" i="10" s="1"/>
  <c r="I8" i="9" l="1"/>
  <c r="J30" i="10"/>
  <c r="I38" i="10"/>
  <c r="J16" i="8" l="1"/>
  <c r="J17" i="8" s="1"/>
  <c r="J16" i="6" s="1"/>
  <c r="J18" i="6" s="1"/>
  <c r="J19" i="6" s="1"/>
  <c r="J20" i="6" s="1"/>
  <c r="J17" i="12" s="1"/>
  <c r="G7" i="15"/>
  <c r="I22" i="12"/>
  <c r="I13" i="9"/>
  <c r="I17" i="9" s="1"/>
  <c r="J21" i="6" l="1"/>
  <c r="J27" i="6" s="1"/>
  <c r="I16" i="12"/>
  <c r="I44" i="9"/>
  <c r="J33" i="9" l="1"/>
  <c r="J23" i="2"/>
  <c r="J27" i="2" s="1"/>
  <c r="J35" i="10"/>
  <c r="D7" i="2"/>
  <c r="J8" i="10"/>
  <c r="J12" i="10" s="1"/>
  <c r="J11" i="12"/>
  <c r="J33" i="10" l="1"/>
  <c r="J20" i="12" s="1"/>
  <c r="J21" i="12" l="1"/>
  <c r="G8" i="15"/>
  <c r="G11" i="15" s="1"/>
  <c r="G13" i="15" s="1"/>
  <c r="J21" i="10" s="1"/>
  <c r="J25" i="10" s="1"/>
  <c r="J26" i="10" s="1"/>
  <c r="G15" i="15" s="1"/>
  <c r="G17" i="15" s="1"/>
  <c r="J16" i="10" s="1"/>
  <c r="J18" i="10" l="1"/>
  <c r="J9" i="9"/>
  <c r="J35" i="9"/>
  <c r="J37" i="9" s="1"/>
  <c r="J43" i="9" s="1"/>
  <c r="J36" i="10"/>
  <c r="J40" i="9" s="1"/>
  <c r="J15" i="12" l="1"/>
  <c r="D13" i="13"/>
  <c r="J24" i="6"/>
  <c r="J25" i="6" s="1"/>
  <c r="C13" i="13"/>
  <c r="J29" i="10"/>
  <c r="J31" i="10" s="1"/>
  <c r="J24" i="2" l="1"/>
  <c r="F11" i="2"/>
  <c r="J8" i="9"/>
  <c r="J38" i="10"/>
  <c r="J13" i="9" l="1"/>
  <c r="J17" i="9" s="1"/>
  <c r="J22" i="12"/>
  <c r="J44" i="9" l="1"/>
  <c r="J16" i="12"/>
  <c r="C15" i="13" l="1"/>
  <c r="D15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F33" authorId="0" shapeId="0" xr:uid="{5B2906F8-C5F6-4F93-8C6D-A76A12CA44FD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Operating Income + Depreciation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F9" authorId="0" shapeId="0" xr:uid="{A8C42DBE-5210-4A65-A49D-E97BB68D8AB3}">
      <text>
        <r>
          <rPr>
            <b/>
            <sz val="9"/>
            <color indexed="81"/>
            <rFont val="Tahoma"/>
            <charset val="1"/>
          </rPr>
          <t>ASUS:</t>
        </r>
        <r>
          <rPr>
            <sz val="9"/>
            <color indexed="81"/>
            <rFont val="Tahoma"/>
            <charset val="1"/>
          </rPr>
          <t xml:space="preserve">
18 jun 2026</t>
        </r>
      </text>
    </comment>
    <comment ref="F10" authorId="0" shapeId="0" xr:uid="{81226198-FB2B-4FD7-AFCA-D7C381D85A9D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3,20% Notes Due sep 2026</t>
        </r>
      </text>
    </comment>
    <comment ref="H10" authorId="0" shapeId="0" xr:uid="{35FA03DE-0BE0-4362-AEFA-E995BFADB8D6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1,55% 1250 &amp; 4,25% 3500 Notes Due in june 2028</t>
        </r>
      </text>
    </comment>
    <comment ref="I10" authorId="0" shapeId="0" xr:uid="{2326D59B-D2C7-4D0E-A916-D06D890009E6}">
      <text>
        <r>
          <rPr>
            <b/>
            <sz val="9"/>
            <color indexed="81"/>
            <rFont val="Tahoma"/>
            <charset val="1"/>
          </rPr>
          <t>ASUS:</t>
        </r>
        <r>
          <rPr>
            <sz val="9"/>
            <color indexed="81"/>
            <rFont val="Tahoma"/>
            <charset val="1"/>
          </rPr>
          <t xml:space="preserve">
4,35% Notes Due Jun 2029</t>
        </r>
      </text>
    </comment>
    <comment ref="J10" authorId="0" shapeId="0" xr:uid="{B08F1DE5-424F-49F8-91E6-2739BB366259}">
      <text>
        <r>
          <rPr>
            <b/>
            <sz val="9"/>
            <color indexed="81"/>
            <rFont val="Tahoma"/>
            <charset val="1"/>
          </rPr>
          <t>ASUS:</t>
        </r>
        <r>
          <rPr>
            <sz val="9"/>
            <color indexed="81"/>
            <rFont val="Tahoma"/>
            <charset val="1"/>
          </rPr>
          <t xml:space="preserve">
2,85% Notes Due apr 20230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F14" authorId="0" shapeId="0" xr:uid="{0547051C-B5CE-4CEC-9A6D-C87D05D7AE01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Ending PPE =
Beginning PPE + CapEx - D&amp;A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F9" authorId="0" shapeId="0" xr:uid="{12E9815F-6436-477E-8C7B-8EB5D19F4262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(PPE * Depreciation Rate on Net PP&amp;E) + (Capex * Depreciation Rate on Net PP&amp;E / 2) = depre on initial PPE + depre on capex purchase on avg</t>
        </r>
      </text>
    </comment>
    <comment ref="B17" authorId="0" shapeId="0" xr:uid="{7CA02F2E-AD7E-4BBE-9456-0986EB792B5D}">
      <text>
        <r>
          <rPr>
            <b/>
            <sz val="9"/>
            <color indexed="81"/>
            <rFont val="Tahoma"/>
            <charset val="1"/>
          </rPr>
          <t>ASUS:</t>
        </r>
        <r>
          <rPr>
            <sz val="9"/>
            <color indexed="81"/>
            <rFont val="Tahoma"/>
            <charset val="1"/>
          </rPr>
          <t xml:space="preserve">
Historical investing detail not split in this model.</t>
        </r>
      </text>
    </comment>
    <comment ref="F22" authorId="0" shapeId="0" xr:uid="{9EA31AC6-AC3E-4EE6-BD3F-004FF0A34777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using H1 2027 FY data estimation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C26" authorId="0" shapeId="0" xr:uid="{58E9AD23-9453-469D-BAA3-20C01980DF91}">
      <text>
        <r>
          <rPr>
            <b/>
            <sz val="9"/>
            <color indexed="81"/>
            <rFont val="Tahoma"/>
            <charset val="1"/>
          </rPr>
          <t>ASUS:</t>
        </r>
        <r>
          <rPr>
            <sz val="9"/>
            <color indexed="81"/>
            <rFont val="Tahoma"/>
            <charset val="1"/>
          </rPr>
          <t xml:space="preserve">
EV = equity value + MV Debt - cash &amp; st inv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<sst xmlns="http://schemas.openxmlformats.org/spreadsheetml/2006/main" count="662" uniqueCount="446">
  <si>
    <t>NVIDIA Corporation (NVDA)</t>
  </si>
  <si>
    <t>Integrated 3-Statement Model, Segmented Revenue Build &amp; DCF Valuation</t>
  </si>
  <si>
    <t>Model Parameters</t>
  </si>
  <si>
    <t>Company</t>
  </si>
  <si>
    <t>NVIDIA Corporation</t>
  </si>
  <si>
    <t>Ticker</t>
  </si>
  <si>
    <t>NASDAQ: NVDA</t>
  </si>
  <si>
    <t>Fiscal Year End</t>
  </si>
  <si>
    <t>Currency / Units</t>
  </si>
  <si>
    <t>USD, $ in millions (except per share)</t>
  </si>
  <si>
    <t>Actual Periods</t>
  </si>
  <si>
    <t>Forecast Periods</t>
  </si>
  <si>
    <t>Valuation</t>
  </si>
  <si>
    <t>Unlevered DCF + EV/EBITDA &amp; P/E cross-checks</t>
  </si>
  <si>
    <t>Basis</t>
  </si>
  <si>
    <t>Sheet Navigation</t>
  </si>
  <si>
    <t>Assumptions</t>
  </si>
  <si>
    <t>Scenario toggle + forecast drivers (named ranges)</t>
  </si>
  <si>
    <t>Historical_Data</t>
  </si>
  <si>
    <t>Revenue_Build</t>
  </si>
  <si>
    <t>DC (Compute+Networking), Gaming, ProViz, Auto, OEM</t>
  </si>
  <si>
    <t>Income_Statement</t>
  </si>
  <si>
    <t>GAAP P&amp;L + GAAP-to-Non-GAAP SBC bridge</t>
  </si>
  <si>
    <t>Working_Capital</t>
  </si>
  <si>
    <t>Debt_Schedule</t>
  </si>
  <si>
    <t>Senior notes, interest expense &amp; income</t>
  </si>
  <si>
    <t>Balance_Sheet</t>
  </si>
  <si>
    <t>Assets / Liabilities / Equity rollforward</t>
  </si>
  <si>
    <t>Cash_Flow</t>
  </si>
  <si>
    <t>Indirect-method CFO / CFI / CFF</t>
  </si>
  <si>
    <t>DCF, WACC bridge, EV-&gt;Equity, per share &amp; cross-checks</t>
  </si>
  <si>
    <t>Ratios</t>
  </si>
  <si>
    <t>Margins, returns, FCF conversion, segment mix</t>
  </si>
  <si>
    <t>Checks</t>
  </si>
  <si>
    <t>Design Section 14 validation checks</t>
  </si>
  <si>
    <t>Tab Colour Legend</t>
  </si>
  <si>
    <t>Dark blue</t>
  </si>
  <si>
    <t>Cover</t>
  </si>
  <si>
    <t>Light blue</t>
  </si>
  <si>
    <t>Assumptions / Inputs</t>
  </si>
  <si>
    <t>Green</t>
  </si>
  <si>
    <t>Revenue &amp; income drivers</t>
  </si>
  <si>
    <t>Orange</t>
  </si>
  <si>
    <t>Cost / working-capital schedules</t>
  </si>
  <si>
    <t>Grey</t>
  </si>
  <si>
    <t>Output statements &amp; summaries</t>
  </si>
  <si>
    <t>Red</t>
  </si>
  <si>
    <t>Debt, valuation &amp; risk schedules</t>
  </si>
  <si>
    <t>Dashboard</t>
  </si>
  <si>
    <t>Headline operating, cash-flow and valuation outputs at a glance</t>
  </si>
  <si>
    <t>Key Performance Indicators</t>
  </si>
  <si>
    <t>Revenue</t>
  </si>
  <si>
    <t>Net Income</t>
  </si>
  <si>
    <t>Revenue CAGR</t>
  </si>
  <si>
    <t>DCF Implied Price</t>
  </si>
  <si>
    <t>Gordon terminal</t>
  </si>
  <si>
    <t>Gross Margin</t>
  </si>
  <si>
    <t>Operating Margin</t>
  </si>
  <si>
    <t>Diluted EPS</t>
  </si>
  <si>
    <t>Free Cash Flow</t>
  </si>
  <si>
    <t>Enterprise Value</t>
  </si>
  <si>
    <t>DCF base case</t>
  </si>
  <si>
    <t>Operating &amp; Cash Flow Summary — USD millions (per-share / margins as noted</t>
  </si>
  <si>
    <t>Metric</t>
  </si>
  <si>
    <t>FY2024A</t>
  </si>
  <si>
    <t>FY2025A</t>
  </si>
  <si>
    <t>FY2027E</t>
  </si>
  <si>
    <t>FY2028E</t>
  </si>
  <si>
    <t>FY2029E</t>
  </si>
  <si>
    <t>FY2030E</t>
  </si>
  <si>
    <t>Total Revenue</t>
  </si>
  <si>
    <t>Revenue Growth %</t>
  </si>
  <si>
    <t>Gross Profit</t>
  </si>
  <si>
    <t>Gross Margin %</t>
  </si>
  <si>
    <t>Operating Income (EBIT</t>
  </si>
  <si>
    <t>Operating Margin %</t>
  </si>
  <si>
    <t>Diluted EPS ($</t>
  </si>
  <si>
    <t>Unlevered Free Cash Flow</t>
  </si>
  <si>
    <t>Net Income Margin %</t>
  </si>
  <si>
    <t>DCF Valuation Bridge</t>
  </si>
  <si>
    <t>Equity Value</t>
  </si>
  <si>
    <t>÷ Diluted Shares (M</t>
  </si>
  <si>
    <t>Implied Share Price</t>
  </si>
  <si>
    <t>Value &amp; Margin Bridges</t>
  </si>
  <si>
    <t>PV Explicit UFCF</t>
  </si>
  <si>
    <t>PV Terminal Value</t>
  </si>
  <si>
    <t>Less: Net Debt</t>
  </si>
  <si>
    <t>Scenario</t>
  </si>
  <si>
    <t>Scenario toggle + forecast drivers</t>
  </si>
  <si>
    <t>Parameter</t>
  </si>
  <si>
    <t>Value</t>
  </si>
  <si>
    <t>Unit</t>
  </si>
  <si>
    <t>Notes / Source</t>
  </si>
  <si>
    <t>Bear</t>
  </si>
  <si>
    <t>Base</t>
  </si>
  <si>
    <t>Bull</t>
  </si>
  <si>
    <t>WACC</t>
  </si>
  <si>
    <t>%</t>
  </si>
  <si>
    <t>Terminal Growth Rate</t>
  </si>
  <si>
    <t>Interest Rate on Cash</t>
  </si>
  <si>
    <t>Yield on cash + investments (short-term rates</t>
  </si>
  <si>
    <t>DC Compute Growth (FY26</t>
  </si>
  <si>
    <t>DC Networking Growth (FY26</t>
  </si>
  <si>
    <t>Gaming Growth (FY26</t>
  </si>
  <si>
    <t>Revenue] RTX 50 upgrade cycle</t>
  </si>
  <si>
    <t>ProViz Growth (FY26</t>
  </si>
  <si>
    <t>Revenue] Omniverse / workstation adoption</t>
  </si>
  <si>
    <t>Automotive Growth (FY26</t>
  </si>
  <si>
    <t>Revenue] DRIVE platform ramp</t>
  </si>
  <si>
    <t>OEM &amp; Other Growth (FY26</t>
  </si>
  <si>
    <t>Revenue] Legacy; roughly flat</t>
  </si>
  <si>
    <t>Growth Decay Factor</t>
  </si>
  <si>
    <t>Revenue] Segment growth x this per forward year</t>
  </si>
  <si>
    <t>R&amp;D % of Revenue</t>
  </si>
  <si>
    <t>Cost] ; CUDA + silicon design</t>
  </si>
  <si>
    <t>SG&amp;A % of Revenue</t>
  </si>
  <si>
    <t>Cost] ; operating leverage</t>
  </si>
  <si>
    <t>SBC % of Revenue</t>
  </si>
  <si>
    <t>Effective Tax Rate</t>
  </si>
  <si>
    <t>Days Sales Outstanding</t>
  </si>
  <si>
    <t>days</t>
  </si>
  <si>
    <t>Days Inventory Outstanding</t>
  </si>
  <si>
    <t>Days Payable Outstanding</t>
  </si>
  <si>
    <t>CapEx % of Revenue</t>
  </si>
  <si>
    <t>Capex] ; internal AI compute</t>
  </si>
  <si>
    <t>Dividend per Share (annual</t>
  </si>
  <si>
    <t>$</t>
  </si>
  <si>
    <t>SBC Shares Issued / yr</t>
  </si>
  <si>
    <t>mm</t>
  </si>
  <si>
    <t>Capital] Dilution offset to buybacks</t>
  </si>
  <si>
    <t>Exit EV/EBITDA Multiple</t>
  </si>
  <si>
    <t>x</t>
  </si>
  <si>
    <t>Valuation] Cross-check exit multiple</t>
  </si>
  <si>
    <t>Target Forward P/E</t>
  </si>
  <si>
    <t>Valuation] P/E cross-check on FY26E EPS</t>
  </si>
  <si>
    <t>Historical Data</t>
  </si>
  <si>
    <t>$ in millions (10-K actuals</t>
  </si>
  <si>
    <t>INCOME STATEMENT</t>
  </si>
  <si>
    <t>Cost of revenue</t>
  </si>
  <si>
    <t>Gross profit</t>
  </si>
  <si>
    <t>R&amp;D expense</t>
  </si>
  <si>
    <t>SG&amp;A expense</t>
  </si>
  <si>
    <t>Operating income</t>
  </si>
  <si>
    <t>Net interest &amp; other income</t>
  </si>
  <si>
    <t>Pretax income</t>
  </si>
  <si>
    <t>Tax expense (benefit</t>
  </si>
  <si>
    <t>Net income</t>
  </si>
  <si>
    <t>SEGMENT REVENUE</t>
  </si>
  <si>
    <t>Compute</t>
  </si>
  <si>
    <t>Networking</t>
  </si>
  <si>
    <t>Gaming</t>
  </si>
  <si>
    <t>Professional Visualization</t>
  </si>
  <si>
    <t>Automotive</t>
  </si>
  <si>
    <t>OEM &amp; Other</t>
  </si>
  <si>
    <t>CASH FLOW</t>
  </si>
  <si>
    <t>Depreciation &amp; amortisation</t>
  </si>
  <si>
    <t>Stock-based compensation</t>
  </si>
  <si>
    <t>Capital expenditure</t>
  </si>
  <si>
    <t>Share repurchases</t>
  </si>
  <si>
    <t>Dividends paid</t>
  </si>
  <si>
    <t>BALANCE SHEET</t>
  </si>
  <si>
    <t>Cash &amp; equivalents</t>
  </si>
  <si>
    <t>Short-term investments</t>
  </si>
  <si>
    <t>Accounts receivable</t>
  </si>
  <si>
    <t>Inventory</t>
  </si>
  <si>
    <t>Total current assets</t>
  </si>
  <si>
    <t>PP&amp;E, net</t>
  </si>
  <si>
    <t>Goodwill</t>
  </si>
  <si>
    <t>Total assets</t>
  </si>
  <si>
    <t>Accounts payable</t>
  </si>
  <si>
    <t>Total current liabilities</t>
  </si>
  <si>
    <t>Long-term debt</t>
  </si>
  <si>
    <t>Short-term debt</t>
  </si>
  <si>
    <t>Total liabilities</t>
  </si>
  <si>
    <t>Shareholders' equity (TA-TL</t>
  </si>
  <si>
    <t>SHARES</t>
  </si>
  <si>
    <t>Diluted shares outstanding</t>
  </si>
  <si>
    <t>Revenue Build</t>
  </si>
  <si>
    <t>Segment-level forecast</t>
  </si>
  <si>
    <t>$ in millions</t>
  </si>
  <si>
    <t>DC Compute growth</t>
  </si>
  <si>
    <t>DC Networking growth</t>
  </si>
  <si>
    <t>Gaming growth</t>
  </si>
  <si>
    <t>ProViz growth</t>
  </si>
  <si>
    <t>Automotive growth</t>
  </si>
  <si>
    <t>OEM &amp; Other growth</t>
  </si>
  <si>
    <t>Data Center - Compute</t>
  </si>
  <si>
    <t>Data Center - Networking</t>
  </si>
  <si>
    <t>Data Center total</t>
  </si>
  <si>
    <t>TOTAL REVENUE</t>
  </si>
  <si>
    <t>MIX &amp; GROWTH CHECKS</t>
  </si>
  <si>
    <t>Total revenue YoY growth</t>
  </si>
  <si>
    <t>Data Center % of revenue</t>
  </si>
  <si>
    <t>Income Statement</t>
  </si>
  <si>
    <t>GAAP P&amp;L + Non-GAAP bridge</t>
  </si>
  <si>
    <t>Gross margin %</t>
  </si>
  <si>
    <t>Research &amp; development</t>
  </si>
  <si>
    <t>Selling, general &amp; admin</t>
  </si>
  <si>
    <t>Interest income</t>
  </si>
  <si>
    <t>Interest expense</t>
  </si>
  <si>
    <t>Income tax expense</t>
  </si>
  <si>
    <t>NET INCOME</t>
  </si>
  <si>
    <t>PER SHARE &amp; MARGINS</t>
  </si>
  <si>
    <t>Diluted shares (mm</t>
  </si>
  <si>
    <t>Operating margin</t>
  </si>
  <si>
    <t>Net margin</t>
  </si>
  <si>
    <t>Non-GAAP operating income</t>
  </si>
  <si>
    <t>Non-GAAP operating margin</t>
  </si>
  <si>
    <t>EBITDA</t>
  </si>
  <si>
    <t>Working Capital</t>
  </si>
  <si>
    <t>DRIVERS (days</t>
  </si>
  <si>
    <t>Days sales outstanding (DSO</t>
  </si>
  <si>
    <t>Days inventory outstanding (DIO</t>
  </si>
  <si>
    <t>Days payable outstanding (DPO</t>
  </si>
  <si>
    <t>BALANCES ($mm</t>
  </si>
  <si>
    <t>NET WORKING CAPITAL &amp; CHANGES</t>
  </si>
  <si>
    <t>Operating NWC</t>
  </si>
  <si>
    <t>Increase in NWC (cash use</t>
  </si>
  <si>
    <t>Debt &amp; Interest Schedule</t>
  </si>
  <si>
    <t>DEBT ($mm) - senior unsecured notes</t>
  </si>
  <si>
    <t>Opening total debt</t>
  </si>
  <si>
    <t>New issuance</t>
  </si>
  <si>
    <t>Repayment</t>
  </si>
  <si>
    <t>Closing total debt</t>
  </si>
  <si>
    <t>Weighted avg coupon</t>
  </si>
  <si>
    <t>INTEREST INCOME (on beginning cash + investments</t>
  </si>
  <si>
    <t>Balance Sheet</t>
  </si>
  <si>
    <t>Assets / Liabilities / Equity</t>
  </si>
  <si>
    <t>ASSETS</t>
  </si>
  <si>
    <t>Other current assets</t>
  </si>
  <si>
    <t>Goodwill &amp; intangibles</t>
  </si>
  <si>
    <t>Other long-term assets</t>
  </si>
  <si>
    <t>TOTAL ASSETS</t>
  </si>
  <si>
    <t>LIABILITIES</t>
  </si>
  <si>
    <t>Other current liabilities</t>
  </si>
  <si>
    <t>Other long-term liabilities</t>
  </si>
  <si>
    <t>TOTAL LIABILITIES</t>
  </si>
  <si>
    <t>SHAREHOLDERS' EQUITY</t>
  </si>
  <si>
    <t>Opening equity</t>
  </si>
  <si>
    <t>+ Net income</t>
  </si>
  <si>
    <t>+ Stock-based comp</t>
  </si>
  <si>
    <t>Dividends</t>
  </si>
  <si>
    <t>TOTAL EQUITY</t>
  </si>
  <si>
    <t>SHARE COUNT</t>
  </si>
  <si>
    <t>TOTAL LIAB. &amp; EQUITY</t>
  </si>
  <si>
    <t>Cash Flow Statement</t>
  </si>
  <si>
    <t>OPERATING ACTIVITIES</t>
  </si>
  <si>
    <t>+ Depreciation &amp; amortisation</t>
  </si>
  <si>
    <t>+ Stock-based compensation</t>
  </si>
  <si>
    <t>Cash from operations</t>
  </si>
  <si>
    <t>INVESTING ACTIVITIES</t>
  </si>
  <si>
    <t>Cash from investing</t>
  </si>
  <si>
    <t>FINANCING ACTIVITIES</t>
  </si>
  <si>
    <t>Cash from financing</t>
  </si>
  <si>
    <t>CASH RECONCILIATION</t>
  </si>
  <si>
    <t>Net change in cash</t>
  </si>
  <si>
    <t>Opening cash</t>
  </si>
  <si>
    <t>Closing cash</t>
  </si>
  <si>
    <t>Unlevered DCF + cross-checks</t>
  </si>
  <si>
    <t>UNLEVERED FREE CASH FLOW ($mm</t>
  </si>
  <si>
    <t>EBIT (operating income</t>
  </si>
  <si>
    <t>NOPAT</t>
  </si>
  <si>
    <t>Increase in NWC</t>
  </si>
  <si>
    <t>Unlevered free cash flow</t>
  </si>
  <si>
    <t>Discount period</t>
  </si>
  <si>
    <t>Discount factor</t>
  </si>
  <si>
    <t>PV of UFCF</t>
  </si>
  <si>
    <t>DCF SUMMARY ($mm</t>
  </si>
  <si>
    <t>Sum of PV of UFCF</t>
  </si>
  <si>
    <t>PV of terminal value</t>
  </si>
  <si>
    <t>Enterprise value</t>
  </si>
  <si>
    <t>+ Net cash (cash+STI-debt, FY25A</t>
  </si>
  <si>
    <t>Diluted shares (FY25A, mm</t>
  </si>
  <si>
    <t>DCF value per share</t>
  </si>
  <si>
    <t>VALUATION CROSS-CHECKS</t>
  </si>
  <si>
    <t>FY26E EBITDA</t>
  </si>
  <si>
    <t>Implied equity value</t>
  </si>
  <si>
    <t>EV/EBITDA value per share</t>
  </si>
  <si>
    <t>FY26E diluted EPS</t>
  </si>
  <si>
    <t>Ratios &amp; KPIs</t>
  </si>
  <si>
    <t>Margins, returns, FCF conversion, mix</t>
  </si>
  <si>
    <t>PROFITABILITY</t>
  </si>
  <si>
    <t>Gross margin</t>
  </si>
  <si>
    <t>EBITDA margin</t>
  </si>
  <si>
    <t>RETURNS</t>
  </si>
  <si>
    <t>Return on equity</t>
  </si>
  <si>
    <t>Return on assets</t>
  </si>
  <si>
    <t>Effective tax rate</t>
  </si>
  <si>
    <t>CASH &amp; LEVERAGE</t>
  </si>
  <si>
    <t>FCF margin</t>
  </si>
  <si>
    <t>Net debt / (cash</t>
  </si>
  <si>
    <t>CapEx % of revenue</t>
  </si>
  <si>
    <t>SEGMENT MIX</t>
  </si>
  <si>
    <t>Gaming % of revenue</t>
  </si>
  <si>
    <t>Validation Checks</t>
  </si>
  <si>
    <t>Check</t>
  </si>
  <si>
    <t>Status</t>
  </si>
  <si>
    <t>Criterion</t>
  </si>
  <si>
    <t>70% &lt;= GM &lt;= 76%</t>
  </si>
  <si>
    <t>DC mix &gt; 80% all forecast periods</t>
  </si>
  <si>
    <t>Operating margin &gt; 55% (FY26E</t>
  </si>
  <si>
    <t>OM &gt; 55%</t>
  </si>
  <si>
    <t>FCF conversion 80-105% (FY26E</t>
  </si>
  <si>
    <t>Effective tax rate 16-19% (FY26E</t>
  </si>
  <si>
    <t>16% &lt;= tax &lt;= 19%</t>
  </si>
  <si>
    <t>CapEx &lt;= 5% of revenue (FY26E</t>
  </si>
  <si>
    <t>CapEx % &lt;= 5%</t>
  </si>
  <si>
    <t>Buybacks &gt; SBC dilution</t>
  </si>
  <si>
    <t>Net debt &lt; 0 (net cash</t>
  </si>
  <si>
    <t>Balance sheet balances (all periods</t>
  </si>
  <si>
    <t>Total assets = total L&amp;E every period</t>
  </si>
  <si>
    <t>Working capital &amp; other operating adjustments</t>
  </si>
  <si>
    <t>Cash flow reconciliation check</t>
  </si>
  <si>
    <t>Target Cash % of Revenue</t>
  </si>
  <si>
    <t>Cash before investment purchases</t>
  </si>
  <si>
    <t>Cash flow reconciliation</t>
  </si>
  <si>
    <t>Opening cash + net change = closing cash</t>
  </si>
  <si>
    <t>Historical CFO matches reported</t>
  </si>
  <si>
    <t>Historical closing cash matches BS</t>
  </si>
  <si>
    <t>CFO CF statement = CFO actual</t>
  </si>
  <si>
    <t>Closing cash CF Statement = Closing Cash actual</t>
  </si>
  <si>
    <t>Depreciation Rate on Net PP&amp;E</t>
  </si>
  <si>
    <t>Average PPE</t>
  </si>
  <si>
    <t>FY25</t>
  </si>
  <si>
    <t>PPE &amp; Depreciation</t>
  </si>
  <si>
    <t>D&amp;A / Avg PPE</t>
  </si>
  <si>
    <t>Shares repurchased</t>
  </si>
  <si>
    <t>Unlevered tax (EBIT x Tax rate)</t>
  </si>
  <si>
    <t>Terminal-year UFCF x (1+g)</t>
  </si>
  <si>
    <t>Terminal value (Gordon growth)</t>
  </si>
  <si>
    <t>Sensitivy DCF</t>
  </si>
  <si>
    <t>Terminal Value % of EV</t>
  </si>
  <si>
    <t>max Terminal value dependecy 80%</t>
  </si>
  <si>
    <t>Risk free rate</t>
  </si>
  <si>
    <t>Equity Risk Premium</t>
  </si>
  <si>
    <t>Beta</t>
  </si>
  <si>
    <t>Cost of equity</t>
  </si>
  <si>
    <t>Credit Spread</t>
  </si>
  <si>
    <t>S&amp;P AA rating spread</t>
  </si>
  <si>
    <t>Pretax cost of debt</t>
  </si>
  <si>
    <t>after-tax Cost of Debt</t>
  </si>
  <si>
    <t>Market Value of Equity</t>
  </si>
  <si>
    <t>Debt</t>
  </si>
  <si>
    <t>Equity Weight</t>
  </si>
  <si>
    <t>Debt Weight</t>
  </si>
  <si>
    <t>Current share price</t>
  </si>
  <si>
    <t>Repayment of debt</t>
  </si>
  <si>
    <t>FY2026A</t>
  </si>
  <si>
    <t>Cash from Operating</t>
  </si>
  <si>
    <t>FY2031E</t>
  </si>
  <si>
    <t>FY2026EA</t>
  </si>
  <si>
    <t>Indirect method (CFO / CFI / CFF)</t>
  </si>
  <si>
    <t>DSO / DIO / DPO</t>
  </si>
  <si>
    <t>Data Center (compute + networking)</t>
  </si>
  <si>
    <t>WC] ; avg dso</t>
  </si>
  <si>
    <t>WC] ; avg dpo</t>
  </si>
  <si>
    <t>WC] ; avg dio</t>
  </si>
  <si>
    <t>H1 FY2027</t>
  </si>
  <si>
    <t>Hyperscale</t>
  </si>
  <si>
    <t>AI Clouds, Industrial &amp; Enterprise (ACIE)</t>
  </si>
  <si>
    <t>Edge Computing</t>
  </si>
  <si>
    <t>Verified FY2024A-H1 FY2027A actuals</t>
  </si>
  <si>
    <t>Weighted Avg Coupon</t>
  </si>
  <si>
    <t>Debt Schedule] avg existing coupon</t>
  </si>
  <si>
    <t xml:space="preserve">Cost] guidance </t>
  </si>
  <si>
    <t>Cost] ; non-cash, ~2 - 2,5% of revenue</t>
  </si>
  <si>
    <t>H1 FY2027 actual dividends ($mm)</t>
  </si>
  <si>
    <t>Forecast quarterly dividend/share</t>
  </si>
  <si>
    <t>Historical Data] Cash / Rev FY 2026</t>
  </si>
  <si>
    <t>Capital] $0.25 quarterly</t>
  </si>
  <si>
    <t>existing data H1 FY2027</t>
  </si>
  <si>
    <t>–) Net Debt (FY26A</t>
  </si>
  <si>
    <t>using industry beta not individual beta</t>
  </si>
  <si>
    <t>Free cash flow (CFO - capex)</t>
  </si>
  <si>
    <t>Average buyback price</t>
  </si>
  <si>
    <t>Net sales / (purchases) of short-term investments</t>
  </si>
  <si>
    <t>Net purchases of long-term investments</t>
  </si>
  <si>
    <t>Net debt issuance / Repayment</t>
  </si>
  <si>
    <t>Other financing</t>
  </si>
  <si>
    <t>Marketable equity balance held constant</t>
  </si>
  <si>
    <t>hold Marketable Securities</t>
  </si>
  <si>
    <t>Minimum cash + debt securities / revenue</t>
  </si>
  <si>
    <t>Based on FY25-FY26 estimation</t>
  </si>
  <si>
    <t>Beginning cash + investments - marketable securities</t>
  </si>
  <si>
    <t>Opening liquid assets</t>
  </si>
  <si>
    <t>FCF after dividends</t>
  </si>
  <si>
    <t>Priority long-term investments</t>
  </si>
  <si>
    <t>Minimum liquid assets</t>
  </si>
  <si>
    <t>Cash available for buyback</t>
  </si>
  <si>
    <t>Forecast buyback</t>
  </si>
  <si>
    <t>Cash after long-term investments</t>
  </si>
  <si>
    <t>Target cash</t>
  </si>
  <si>
    <t>Buyback Planning</t>
  </si>
  <si>
    <t>Buyback Budget</t>
  </si>
  <si>
    <t>WACC Data Resource</t>
  </si>
  <si>
    <t>Tax] H1FY27A actual 16.5%</t>
  </si>
  <si>
    <t>Based on FY25-FY26 historical D&amp;A / average net PP&amp;E</t>
  </si>
  <si>
    <t>FY26</t>
  </si>
  <si>
    <t>GAAP Gross Margin (Terminal)</t>
  </si>
  <si>
    <t>GAAP Gross Margin (FY26)</t>
  </si>
  <si>
    <t>Revenue] Scenario-driven; InfiniBand/Ethernet/Nvlink</t>
  </si>
  <si>
    <t>Revenue] Scenario-driven; AI boom infrastructure</t>
  </si>
  <si>
    <t>Balance sheet] quarterly paid H1 fy 2027</t>
  </si>
  <si>
    <t>Key Drivers</t>
  </si>
  <si>
    <t xml:space="preserve">DSO / DIO / DPO </t>
  </si>
  <si>
    <t>CAPITAL ALLOCATION</t>
  </si>
  <si>
    <t>Implied EV (EBITDA x exit mult.)</t>
  </si>
  <si>
    <t>Equity value)</t>
  </si>
  <si>
    <t>Implied DCF EV/EBITDA (FY26E)</t>
  </si>
  <si>
    <t>P/E value per share (EPS x P/E)</t>
  </si>
  <si>
    <t>bear</t>
  </si>
  <si>
    <t>base</t>
  </si>
  <si>
    <t>bull</t>
  </si>
  <si>
    <t/>
  </si>
  <si>
    <t>Click here</t>
  </si>
  <si>
    <t>75% &lt;= FCF/NI &lt;= 105%</t>
  </si>
  <si>
    <t>FY31E</t>
  </si>
  <si>
    <t>FY31E unlevered</t>
  </si>
  <si>
    <t>FY2024A - FY2026A (10-K filings)</t>
  </si>
  <si>
    <t>FY2027E - FY2031E (5 years)</t>
  </si>
  <si>
    <t xml:space="preserve">FY2026 10-K </t>
  </si>
  <si>
    <t>Verified FY2024A-FY2026A actuals (10-K)</t>
  </si>
  <si>
    <t>Asset_Allocation</t>
  </si>
  <si>
    <t>buyback forecast,short term investment, FCF after dividends</t>
  </si>
  <si>
    <t>Research by : T Ghiyas Kausara</t>
  </si>
  <si>
    <t xml:space="preserve">Waterfall Chart Data </t>
  </si>
  <si>
    <t>SEGMENT REVENUE ($mm)</t>
  </si>
  <si>
    <t>GROWTH RATES (forecast)</t>
  </si>
  <si>
    <t>GAAP -&gt; NON-GAAP BRIDGE (SBC add-back)</t>
  </si>
  <si>
    <t>Terminal Rate / WACC</t>
  </si>
  <si>
    <t>FCF conversion (FCF/NI)</t>
  </si>
  <si>
    <t>Gross margin in 70-76% band (FY26E)</t>
  </si>
  <si>
    <t>Data Center &gt; 80% of revenue (FY31E)</t>
  </si>
  <si>
    <t>Share count declining (FY31E &lt; FY26E)</t>
  </si>
  <si>
    <t>Net cash position (FY26E)</t>
  </si>
  <si>
    <t>BASE CASE</t>
  </si>
  <si>
    <t>BEAR CASE</t>
  </si>
  <si>
    <t>BULL CASE</t>
  </si>
  <si>
    <t>FY26A-FY31E</t>
  </si>
  <si>
    <t>Balance check (A - L &amp; E)</t>
  </si>
  <si>
    <t>Analyst assumption; long-term normalized growth</t>
  </si>
  <si>
    <t>U.S. Treasury 10Y, Oct-2026</t>
  </si>
  <si>
    <t>NVIDIA remaining authorization $235bn, Sep-2026</t>
  </si>
  <si>
    <t>Damodaran, U.S. Semiconductor Industry, Jan-2026</t>
  </si>
  <si>
    <t>Damodaran U.S. Implied ERP, Sep-2026</t>
  </si>
  <si>
    <t>analyst assumption; gradual normalization from FY27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</si>
</sst>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#,##0,\B"/>
    <numFmt numFmtId="165" formatCode="0.0%;\(0.0%\);\-"/>
    <numFmt numFmtId="166" formatCode="\$#,##0.00"/>
    <numFmt numFmtId="167" formatCode="#,##0;\(#,##0\);\-"/>
    <numFmt numFmtId="168" formatCode="#,##0.0"/>
    <numFmt numFmtId="169" formatCode="0.0%"/>
    <numFmt numFmtId="170" formatCode="#,##0;\(#,##0\)"/>
    <numFmt numFmtId="171" formatCode="0.0\x"/>
    <numFmt numFmtId="172" formatCode="0.000"/>
    <numFmt numFmtId="173" formatCode="_-* #,##0_-;\-* #,##0_-;_-* &quot;-&quot;??_-;_-@_-"/>
    <numFmt numFmtId="174" formatCode="#,##0.00;\(#,##0.00\);\-"/>
  </numFmts>
  <fonts count="51">
    <font>
      <sz val="11"/>
      <name val="Arial"/>
      <charset val="1"/>
    </font>
    <font>
      <sz val="10"/>
      <name val="Arial"/>
    </font>
    <font>
      <sz val="11"/>
      <color theme="0"/>
      <name val="Arial"/>
      <charset val="1"/>
    </font>
    <font>
      <sz val="11"/>
      <color theme="0"/>
      <name val="Calibri"/>
      <charset val="1"/>
    </font>
    <font>
      <b/>
      <sz val="18"/>
      <color theme="0"/>
      <name val="Arial"/>
      <charset val="1"/>
    </font>
    <font>
      <b/>
      <u/>
      <sz val="11"/>
      <color theme="0"/>
      <name val="Arial"/>
      <charset val="1"/>
    </font>
    <font>
      <i/>
      <sz val="11"/>
      <color theme="0"/>
      <name val="Arial"/>
      <charset val="1"/>
    </font>
    <font>
      <sz val="11"/>
      <color theme="1"/>
      <name val="Arial"/>
      <charset val="1"/>
    </font>
    <font>
      <b/>
      <sz val="11"/>
      <color theme="3"/>
      <name val="Arial"/>
      <charset val="1"/>
    </font>
    <font>
      <b/>
      <sz val="10"/>
      <color rgb="FF000000"/>
      <name val="Arial"/>
      <charset val="1"/>
    </font>
    <font>
      <sz val="10"/>
      <color rgb="FF000000"/>
      <name val="Arial"/>
      <charset val="1"/>
    </font>
    <font>
      <sz val="11"/>
      <color theme="1"/>
      <name val="Calibri"/>
      <family val="2"/>
      <charset val="1"/>
    </font>
    <font>
      <b/>
      <sz val="11"/>
      <color theme="0"/>
      <name val="Arial"/>
      <charset val="1"/>
    </font>
    <font>
      <b/>
      <sz val="10"/>
      <color theme="3"/>
      <name val="Arial"/>
      <charset val="1"/>
    </font>
    <font>
      <b/>
      <sz val="18"/>
      <color rgb="FF000000"/>
      <name val="Arial"/>
      <charset val="1"/>
    </font>
    <font>
      <i/>
      <sz val="9"/>
      <color rgb="FF595959"/>
      <name val="Arial"/>
      <charset val="1"/>
    </font>
    <font>
      <sz val="11"/>
      <color rgb="FF000000"/>
      <name val="Arial"/>
      <charset val="1"/>
    </font>
    <font>
      <b/>
      <sz val="11"/>
      <color rgb="FF000000"/>
      <name val="Arial"/>
      <charset val="1"/>
    </font>
    <font>
      <b/>
      <sz val="10"/>
      <color theme="0"/>
      <name val="Arial"/>
      <charset val="1"/>
    </font>
    <font>
      <sz val="10"/>
      <color theme="0"/>
      <name val="Arial"/>
      <charset val="1"/>
    </font>
    <font>
      <i/>
      <sz val="9"/>
      <color theme="0"/>
      <name val="Arial"/>
      <charset val="1"/>
    </font>
    <font>
      <sz val="10"/>
      <color rgb="FF1F4E79"/>
      <name val="Arial"/>
      <charset val="1"/>
    </font>
    <font>
      <b/>
      <sz val="10"/>
      <name val="Arial"/>
      <charset val="1"/>
    </font>
    <font>
      <sz val="10"/>
      <color theme="3"/>
      <name val="Arial"/>
      <charset val="1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i/>
      <sz val="9"/>
      <color rgb="FF595959"/>
      <name val="Arial"/>
      <family val="2"/>
    </font>
    <font>
      <sz val="10"/>
      <name val="Arial Unicode MS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charset val="1"/>
    </font>
    <font>
      <b/>
      <sz val="10"/>
      <color theme="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  <family val="2"/>
    </font>
    <font>
      <sz val="10"/>
      <color rgb="FF1F4E79"/>
      <name val="Arial"/>
      <family val="2"/>
    </font>
    <font>
      <b/>
      <sz val="11"/>
      <name val="Arial"/>
      <family val="2"/>
    </font>
    <font>
      <i/>
      <sz val="11"/>
      <color theme="0"/>
      <name val="Arial"/>
      <family val="2"/>
    </font>
    <font>
      <sz val="11"/>
      <color rgb="FF000000"/>
      <name val="Arial"/>
      <family val="2"/>
    </font>
    <font>
      <b/>
      <sz val="10"/>
      <color rgb="FFFFFFFF"/>
      <name val="Arial"/>
    </font>
    <font>
      <b/>
      <sz val="18"/>
      <color theme="0"/>
      <name val="Arial"/>
      <family val="2"/>
    </font>
    <font>
      <sz val="11"/>
      <color theme="0"/>
      <name val="Arial"/>
      <family val="2"/>
    </font>
    <font>
      <sz val="11"/>
      <color theme="9" tint="9.9978637043366805E-2"/>
      <name val="Arial"/>
      <family val="2"/>
    </font>
    <font>
      <b/>
      <sz val="15"/>
      <color theme="0"/>
      <name val="Arial"/>
      <family val="2"/>
    </font>
    <font>
      <b/>
      <sz val="10"/>
      <name val="Arial"/>
      <family val="2"/>
    </font>
    <font>
      <sz val="11"/>
      <color theme="0"/>
      <name val="Calibri"/>
      <family val="2"/>
    </font>
    <font>
      <i/>
      <sz val="7.5"/>
      <color rgb="FF595959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3"/>
        <bgColor rgb="FF595959"/>
      </patternFill>
    </fill>
    <fill>
      <patternFill patternType="solid">
        <fgColor rgb="FFD9D9D9"/>
        <bgColor rgb="FFEDEDED"/>
      </patternFill>
    </fill>
    <fill>
      <patternFill patternType="solid">
        <fgColor theme="3" tint="0.79998168889431442"/>
        <bgColor rgb="FFFFF2CC"/>
      </patternFill>
    </fill>
    <fill>
      <patternFill patternType="solid">
        <fgColor rgb="FFEBF1FA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FF2CC"/>
        <bgColor rgb="FFF2F2F2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rgb="FF595959"/>
      </patternFill>
    </fill>
    <fill>
      <patternFill patternType="solid">
        <fgColor rgb="FF7030A0"/>
        <bgColor rgb="FF595959"/>
      </patternFill>
    </fill>
  </fills>
  <borders count="5">
    <border>
      <left/>
      <right/>
      <top/>
      <bottom/>
      <diagonal/>
    </border>
    <border>
      <left/>
      <right/>
      <top style="medium">
        <color rgb="FF1F4E79"/>
      </top>
      <bottom/>
      <diagonal/>
    </border>
    <border>
      <left/>
      <right/>
      <top style="thin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Border="0" applyAlignment="0" applyProtection="0"/>
    <xf numFmtId="43" fontId="32" fillId="0" borderId="0" applyFont="0" applyFill="0" applyBorder="0" applyAlignment="0" applyProtection="0"/>
    <xf numFmtId="0" fontId="27" fillId="0" borderId="0"/>
  </cellStyleXfs>
  <cellXfs count="171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 applyAlignment="1">
      <alignment horizontal="left" vertical="center"/>
    </xf>
    <xf numFmtId="0" fontId="6" fillId="2" borderId="0" xfId="0" applyFont="1" applyFill="1"/>
    <xf numFmtId="0" fontId="7" fillId="0" borderId="0" xfId="0" applyFont="1"/>
    <xf numFmtId="0" fontId="8" fillId="3" borderId="0" xfId="0" applyFont="1" applyFill="1"/>
    <xf numFmtId="0" fontId="7" fillId="3" borderId="0" xfId="0" applyFont="1" applyFill="1"/>
    <xf numFmtId="0" fontId="9" fillId="0" borderId="0" xfId="0" applyFont="1"/>
    <xf numFmtId="0" fontId="10" fillId="0" borderId="0" xfId="0" applyFont="1"/>
    <xf numFmtId="0" fontId="4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1" fillId="0" borderId="0" xfId="0" applyFont="1"/>
    <xf numFmtId="0" fontId="12" fillId="2" borderId="0" xfId="0" applyFont="1" applyFill="1" applyAlignment="1">
      <alignment horizontal="left" vertical="center"/>
    </xf>
    <xf numFmtId="0" fontId="12" fillId="2" borderId="0" xfId="0" applyFont="1" applyFill="1"/>
    <xf numFmtId="0" fontId="16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right" vertical="center"/>
    </xf>
    <xf numFmtId="0" fontId="17" fillId="0" borderId="0" xfId="0" applyFont="1" applyAlignment="1">
      <alignment horizontal="left" vertical="center"/>
    </xf>
    <xf numFmtId="167" fontId="17" fillId="0" borderId="0" xfId="0" applyNumberFormat="1" applyFont="1" applyAlignment="1">
      <alignment horizontal="right"/>
    </xf>
    <xf numFmtId="0" fontId="16" fillId="0" borderId="0" xfId="0" applyFont="1" applyAlignment="1">
      <alignment horizontal="left" vertical="center" indent="1"/>
    </xf>
    <xf numFmtId="165" fontId="16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right"/>
    </xf>
    <xf numFmtId="167" fontId="16" fillId="0" borderId="0" xfId="0" applyNumberFormat="1" applyFont="1" applyAlignment="1">
      <alignment horizontal="right"/>
    </xf>
    <xf numFmtId="168" fontId="16" fillId="0" borderId="0" xfId="0" applyNumberFormat="1" applyFont="1" applyAlignment="1">
      <alignment horizontal="right"/>
    </xf>
    <xf numFmtId="0" fontId="15" fillId="0" borderId="0" xfId="0" applyFont="1"/>
    <xf numFmtId="167" fontId="11" fillId="0" borderId="0" xfId="0" applyNumberFormat="1" applyFont="1"/>
    <xf numFmtId="1" fontId="19" fillId="2" borderId="0" xfId="0" applyNumberFormat="1" applyFont="1" applyFill="1" applyAlignment="1">
      <alignment horizontal="center"/>
    </xf>
    <xf numFmtId="0" fontId="20" fillId="2" borderId="0" xfId="0" applyFont="1" applyFill="1"/>
    <xf numFmtId="0" fontId="18" fillId="2" borderId="0" xfId="0" applyFont="1" applyFill="1" applyAlignment="1">
      <alignment horizontal="left"/>
    </xf>
    <xf numFmtId="0" fontId="18" fillId="2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10" fontId="21" fillId="5" borderId="0" xfId="0" applyNumberFormat="1" applyFont="1" applyFill="1" applyAlignment="1">
      <alignment horizontal="right"/>
    </xf>
    <xf numFmtId="0" fontId="10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3" fontId="21" fillId="5" borderId="0" xfId="0" applyNumberFormat="1" applyFont="1" applyFill="1" applyAlignment="1">
      <alignment horizontal="right"/>
    </xf>
    <xf numFmtId="167" fontId="21" fillId="5" borderId="0" xfId="0" applyNumberFormat="1" applyFont="1" applyFill="1" applyAlignment="1">
      <alignment horizontal="right"/>
    </xf>
    <xf numFmtId="171" fontId="21" fillId="5" borderId="0" xfId="0" applyNumberFormat="1" applyFont="1" applyFill="1" applyAlignment="1">
      <alignment horizontal="right"/>
    </xf>
    <xf numFmtId="0" fontId="22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6" fillId="3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170" fontId="23" fillId="6" borderId="0" xfId="0" applyNumberFormat="1" applyFont="1" applyFill="1" applyAlignment="1">
      <alignment horizontal="right"/>
    </xf>
    <xf numFmtId="170" fontId="10" fillId="6" borderId="0" xfId="0" applyNumberFormat="1" applyFont="1" applyFill="1" applyAlignment="1">
      <alignment horizontal="right"/>
    </xf>
    <xf numFmtId="166" fontId="10" fillId="6" borderId="0" xfId="0" applyNumberFormat="1" applyFont="1" applyFill="1" applyAlignment="1">
      <alignment horizontal="right"/>
    </xf>
    <xf numFmtId="0" fontId="10" fillId="0" borderId="0" xfId="0" applyFont="1" applyAlignment="1">
      <alignment horizontal="left" indent="1"/>
    </xf>
    <xf numFmtId="169" fontId="10" fillId="0" borderId="0" xfId="0" applyNumberFormat="1" applyFont="1" applyAlignment="1">
      <alignment horizontal="right"/>
    </xf>
    <xf numFmtId="170" fontId="10" fillId="0" borderId="0" xfId="0" applyNumberFormat="1" applyFont="1" applyAlignment="1">
      <alignment horizontal="right"/>
    </xf>
    <xf numFmtId="170" fontId="9" fillId="6" borderId="2" xfId="0" applyNumberFormat="1" applyFont="1" applyFill="1" applyBorder="1" applyAlignment="1">
      <alignment horizontal="right"/>
    </xf>
    <xf numFmtId="170" fontId="9" fillId="0" borderId="2" xfId="0" applyNumberFormat="1" applyFont="1" applyBorder="1" applyAlignment="1">
      <alignment horizontal="right"/>
    </xf>
    <xf numFmtId="170" fontId="9" fillId="0" borderId="3" xfId="0" applyNumberFormat="1" applyFont="1" applyBorder="1" applyAlignment="1">
      <alignment horizontal="right"/>
    </xf>
    <xf numFmtId="169" fontId="10" fillId="6" borderId="0" xfId="0" applyNumberFormat="1" applyFont="1" applyFill="1" applyAlignment="1">
      <alignment horizontal="right"/>
    </xf>
    <xf numFmtId="170" fontId="10" fillId="6" borderId="2" xfId="0" applyNumberFormat="1" applyFont="1" applyFill="1" applyBorder="1" applyAlignment="1">
      <alignment horizontal="right"/>
    </xf>
    <xf numFmtId="170" fontId="10" fillId="0" borderId="2" xfId="0" applyNumberFormat="1" applyFont="1" applyBorder="1" applyAlignment="1">
      <alignment horizontal="right"/>
    </xf>
    <xf numFmtId="3" fontId="10" fillId="6" borderId="0" xfId="0" applyNumberFormat="1" applyFont="1" applyFill="1" applyAlignment="1">
      <alignment horizontal="right"/>
    </xf>
    <xf numFmtId="3" fontId="10" fillId="0" borderId="0" xfId="0" applyNumberFormat="1" applyFont="1" applyAlignment="1">
      <alignment horizontal="right"/>
    </xf>
    <xf numFmtId="166" fontId="10" fillId="0" borderId="0" xfId="0" applyNumberFormat="1" applyFont="1" applyAlignment="1">
      <alignment horizontal="right"/>
    </xf>
    <xf numFmtId="0" fontId="9" fillId="0" borderId="0" xfId="0" applyFont="1" applyAlignment="1">
      <alignment horizontal="left" indent="1"/>
    </xf>
    <xf numFmtId="10" fontId="23" fillId="6" borderId="0" xfId="0" applyNumberFormat="1" applyFont="1" applyFill="1" applyAlignment="1">
      <alignment horizontal="right"/>
    </xf>
    <xf numFmtId="10" fontId="23" fillId="7" borderId="0" xfId="0" applyNumberFormat="1" applyFont="1" applyFill="1" applyAlignment="1">
      <alignment horizontal="right"/>
    </xf>
    <xf numFmtId="170" fontId="10" fillId="0" borderId="3" xfId="0" applyNumberFormat="1" applyFont="1" applyBorder="1" applyAlignment="1">
      <alignment horizontal="right"/>
    </xf>
    <xf numFmtId="167" fontId="10" fillId="6" borderId="0" xfId="0" applyNumberFormat="1" applyFont="1" applyFill="1" applyAlignment="1">
      <alignment horizontal="right"/>
    </xf>
    <xf numFmtId="167" fontId="10" fillId="0" borderId="0" xfId="0" applyNumberFormat="1" applyFont="1" applyAlignment="1">
      <alignment horizontal="right"/>
    </xf>
    <xf numFmtId="170" fontId="9" fillId="6" borderId="0" xfId="0" applyNumberFormat="1" applyFont="1" applyFill="1" applyAlignment="1">
      <alignment horizontal="right"/>
    </xf>
    <xf numFmtId="170" fontId="9" fillId="0" borderId="0" xfId="0" applyNumberFormat="1" applyFont="1" applyAlignment="1">
      <alignment horizontal="right"/>
    </xf>
    <xf numFmtId="1" fontId="10" fillId="0" borderId="0" xfId="0" applyNumberFormat="1" applyFont="1" applyAlignment="1">
      <alignment horizontal="right"/>
    </xf>
    <xf numFmtId="172" fontId="10" fillId="0" borderId="0" xfId="0" applyNumberFormat="1" applyFont="1" applyAlignment="1">
      <alignment horizontal="right"/>
    </xf>
    <xf numFmtId="166" fontId="9" fillId="0" borderId="3" xfId="0" applyNumberFormat="1" applyFont="1" applyBorder="1" applyAlignment="1">
      <alignment horizontal="right"/>
    </xf>
    <xf numFmtId="166" fontId="9" fillId="0" borderId="2" xfId="0" applyNumberFormat="1" applyFont="1" applyBorder="1" applyAlignment="1">
      <alignment horizontal="right"/>
    </xf>
    <xf numFmtId="166" fontId="9" fillId="0" borderId="0" xfId="0" applyNumberFormat="1" applyFont="1" applyAlignment="1">
      <alignment horizontal="right"/>
    </xf>
    <xf numFmtId="171" fontId="10" fillId="0" borderId="0" xfId="0" applyNumberFormat="1" applyFont="1" applyAlignment="1">
      <alignment horizontal="right"/>
    </xf>
    <xf numFmtId="0" fontId="9" fillId="0" borderId="0" xfId="0" applyFont="1" applyAlignment="1">
      <alignment horizontal="center"/>
    </xf>
    <xf numFmtId="170" fontId="0" fillId="0" borderId="0" xfId="0" applyNumberFormat="1"/>
    <xf numFmtId="170" fontId="24" fillId="6" borderId="2" xfId="0" applyNumberFormat="1" applyFont="1" applyFill="1" applyBorder="1" applyAlignment="1">
      <alignment horizontal="right"/>
    </xf>
    <xf numFmtId="170" fontId="7" fillId="0" borderId="0" xfId="0" applyNumberFormat="1" applyFont="1"/>
    <xf numFmtId="167" fontId="26" fillId="6" borderId="0" xfId="0" applyNumberFormat="1" applyFont="1" applyFill="1" applyAlignment="1">
      <alignment horizontal="right"/>
    </xf>
    <xf numFmtId="0" fontId="27" fillId="0" borderId="0" xfId="0" applyFont="1"/>
    <xf numFmtId="0" fontId="28" fillId="0" borderId="0" xfId="0" applyFont="1" applyAlignment="1">
      <alignment horizontal="left"/>
    </xf>
    <xf numFmtId="9" fontId="1" fillId="0" borderId="0" xfId="1"/>
    <xf numFmtId="170" fontId="29" fillId="0" borderId="0" xfId="0" applyNumberFormat="1" applyFont="1" applyAlignment="1">
      <alignment vertical="center"/>
    </xf>
    <xf numFmtId="0" fontId="26" fillId="0" borderId="0" xfId="0" applyFont="1" applyAlignment="1">
      <alignment horizontal="left" indent="1"/>
    </xf>
    <xf numFmtId="1" fontId="0" fillId="0" borderId="0" xfId="0" applyNumberFormat="1"/>
    <xf numFmtId="0" fontId="18" fillId="2" borderId="0" xfId="0" applyFont="1" applyFill="1" applyAlignment="1">
      <alignment horizontal="centerContinuous"/>
    </xf>
    <xf numFmtId="169" fontId="21" fillId="5" borderId="0" xfId="0" applyNumberFormat="1" applyFont="1" applyFill="1" applyAlignment="1">
      <alignment horizontal="center"/>
    </xf>
    <xf numFmtId="10" fontId="1" fillId="0" borderId="0" xfId="1" applyNumberFormat="1" applyAlignment="1">
      <alignment horizontal="center"/>
    </xf>
    <xf numFmtId="0" fontId="26" fillId="0" borderId="0" xfId="0" applyFont="1" applyAlignment="1">
      <alignment horizontal="left"/>
    </xf>
    <xf numFmtId="167" fontId="26" fillId="0" borderId="0" xfId="0" applyNumberFormat="1" applyFont="1" applyAlignment="1">
      <alignment horizontal="right"/>
    </xf>
    <xf numFmtId="0" fontId="33" fillId="2" borderId="0" xfId="0" applyFont="1" applyFill="1" applyAlignment="1">
      <alignment horizontal="centerContinuous"/>
    </xf>
    <xf numFmtId="2" fontId="7" fillId="0" borderId="0" xfId="0" applyNumberFormat="1" applyFont="1"/>
    <xf numFmtId="0" fontId="29" fillId="0" borderId="0" xfId="0" applyFont="1" applyAlignment="1">
      <alignment vertical="center"/>
    </xf>
    <xf numFmtId="2" fontId="29" fillId="0" borderId="0" xfId="0" applyNumberFormat="1" applyFont="1" applyAlignment="1">
      <alignment vertical="center"/>
    </xf>
    <xf numFmtId="10" fontId="0" fillId="0" borderId="0" xfId="0" applyNumberFormat="1"/>
    <xf numFmtId="0" fontId="3" fillId="2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36" fillId="0" borderId="4" xfId="0" applyNumberFormat="1" applyFont="1" applyBorder="1" applyAlignment="1">
      <alignment horizontal="center"/>
    </xf>
    <xf numFmtId="2" fontId="36" fillId="0" borderId="4" xfId="0" applyNumberFormat="1" applyFont="1" applyBorder="1" applyAlignment="1">
      <alignment horizontal="center"/>
    </xf>
    <xf numFmtId="0" fontId="36" fillId="0" borderId="0" xfId="0" applyFont="1"/>
    <xf numFmtId="169" fontId="1" fillId="0" borderId="0" xfId="1" applyNumberFormat="1" applyAlignment="1">
      <alignment horizontal="right"/>
    </xf>
    <xf numFmtId="174" fontId="21" fillId="5" borderId="0" xfId="0" applyNumberFormat="1" applyFont="1" applyFill="1" applyAlignment="1">
      <alignment horizontal="right"/>
    </xf>
    <xf numFmtId="10" fontId="37" fillId="5" borderId="0" xfId="0" applyNumberFormat="1" applyFont="1" applyFill="1" applyAlignment="1">
      <alignment horizontal="right"/>
    </xf>
    <xf numFmtId="2" fontId="37" fillId="5" borderId="0" xfId="0" applyNumberFormat="1" applyFont="1" applyFill="1" applyAlignment="1">
      <alignment horizontal="right"/>
    </xf>
    <xf numFmtId="173" fontId="37" fillId="5" borderId="0" xfId="2" applyNumberFormat="1" applyFont="1" applyFill="1" applyAlignment="1">
      <alignment horizontal="right"/>
    </xf>
    <xf numFmtId="0" fontId="36" fillId="0" borderId="4" xfId="0" applyFont="1" applyBorder="1" applyAlignment="1">
      <alignment horizontal="center"/>
    </xf>
    <xf numFmtId="0" fontId="33" fillId="2" borderId="0" xfId="0" applyFont="1" applyFill="1" applyAlignment="1">
      <alignment horizontal="center"/>
    </xf>
    <xf numFmtId="0" fontId="38" fillId="0" borderId="0" xfId="0" applyFont="1"/>
    <xf numFmtId="0" fontId="24" fillId="0" borderId="0" xfId="0" applyFont="1" applyAlignment="1">
      <alignment horizontal="left"/>
    </xf>
    <xf numFmtId="0" fontId="39" fillId="2" borderId="0" xfId="0" applyFont="1" applyFill="1"/>
    <xf numFmtId="0" fontId="40" fillId="3" borderId="0" xfId="0" applyFont="1" applyFill="1" applyAlignment="1">
      <alignment horizontal="right" vertical="center"/>
    </xf>
    <xf numFmtId="0" fontId="41" fillId="8" borderId="0" xfId="0" applyFont="1" applyFill="1" applyAlignment="1">
      <alignment horizontal="center" vertical="center"/>
    </xf>
    <xf numFmtId="43" fontId="23" fillId="6" borderId="0" xfId="2" applyFont="1" applyFill="1" applyAlignment="1">
      <alignment horizontal="right"/>
    </xf>
    <xf numFmtId="0" fontId="10" fillId="0" borderId="0" xfId="2" applyNumberFormat="1" applyFont="1" applyAlignment="1">
      <alignment horizontal="centerContinuous"/>
    </xf>
    <xf numFmtId="0" fontId="40" fillId="0" borderId="0" xfId="0" applyFont="1" applyAlignment="1">
      <alignment horizontal="left" vertical="center" indent="1"/>
    </xf>
    <xf numFmtId="0" fontId="24" fillId="0" borderId="0" xfId="0" applyFont="1" applyAlignment="1">
      <alignment horizontal="left" indent="1"/>
    </xf>
    <xf numFmtId="43" fontId="7" fillId="0" borderId="0" xfId="0" applyNumberFormat="1" applyFont="1"/>
    <xf numFmtId="0" fontId="26" fillId="0" borderId="0" xfId="0" applyFont="1"/>
    <xf numFmtId="0" fontId="42" fillId="2" borderId="0" xfId="0" applyFont="1" applyFill="1"/>
    <xf numFmtId="10" fontId="21" fillId="9" borderId="0" xfId="0" applyNumberFormat="1" applyFont="1" applyFill="1" applyAlignment="1">
      <alignment horizontal="right"/>
    </xf>
    <xf numFmtId="10" fontId="10" fillId="9" borderId="0" xfId="0" applyNumberFormat="1" applyFont="1" applyFill="1" applyAlignment="1">
      <alignment horizontal="right"/>
    </xf>
    <xf numFmtId="0" fontId="44" fillId="2" borderId="0" xfId="0" applyFont="1" applyFill="1"/>
    <xf numFmtId="0" fontId="43" fillId="2" borderId="0" xfId="0" applyFont="1" applyFill="1" applyAlignment="1">
      <alignment horizontal="center"/>
    </xf>
    <xf numFmtId="0" fontId="45" fillId="2" borderId="0" xfId="0" applyFont="1" applyFill="1" applyAlignment="1">
      <alignment horizontal="center"/>
    </xf>
    <xf numFmtId="0" fontId="46" fillId="0" borderId="0" xfId="0" applyFont="1"/>
    <xf numFmtId="0" fontId="43" fillId="2" borderId="0" xfId="3" applyFont="1" applyFill="1"/>
    <xf numFmtId="0" fontId="47" fillId="2" borderId="0" xfId="3" applyFont="1" applyFill="1"/>
    <xf numFmtId="0" fontId="27" fillId="0" borderId="0" xfId="3"/>
    <xf numFmtId="0" fontId="42" fillId="2" borderId="0" xfId="3" applyFont="1" applyFill="1"/>
    <xf numFmtId="0" fontId="39" fillId="2" borderId="0" xfId="3" applyFont="1" applyFill="1"/>
    <xf numFmtId="0" fontId="25" fillId="0" borderId="0" xfId="3" applyFont="1"/>
    <xf numFmtId="0" fontId="11" fillId="0" borderId="0" xfId="3" applyFont="1"/>
    <xf numFmtId="0" fontId="46" fillId="0" borderId="0" xfId="3" applyFont="1" applyAlignment="1">
      <alignment horizontal="left"/>
    </xf>
    <xf numFmtId="0" fontId="33" fillId="2" borderId="0" xfId="3" applyFont="1" applyFill="1" applyAlignment="1">
      <alignment horizontal="center"/>
    </xf>
    <xf numFmtId="0" fontId="40" fillId="3" borderId="0" xfId="3" applyFont="1" applyFill="1" applyAlignment="1">
      <alignment horizontal="left"/>
    </xf>
    <xf numFmtId="0" fontId="25" fillId="3" borderId="0" xfId="3" applyFont="1" applyFill="1"/>
    <xf numFmtId="0" fontId="26" fillId="0" borderId="0" xfId="3" applyFont="1" applyAlignment="1">
      <alignment horizontal="left" indent="1"/>
    </xf>
    <xf numFmtId="3" fontId="26" fillId="6" borderId="0" xfId="3" applyNumberFormat="1" applyFont="1" applyFill="1" applyAlignment="1">
      <alignment horizontal="right"/>
    </xf>
    <xf numFmtId="3" fontId="26" fillId="0" borderId="0" xfId="3" applyNumberFormat="1" applyFont="1" applyAlignment="1">
      <alignment horizontal="right"/>
    </xf>
    <xf numFmtId="170" fontId="26" fillId="6" borderId="0" xfId="3" applyNumberFormat="1" applyFont="1" applyFill="1" applyAlignment="1">
      <alignment horizontal="right"/>
    </xf>
    <xf numFmtId="170" fontId="26" fillId="0" borderId="0" xfId="3" applyNumberFormat="1" applyFont="1" applyAlignment="1">
      <alignment horizontal="right"/>
    </xf>
    <xf numFmtId="0" fontId="24" fillId="0" borderId="0" xfId="3" applyFont="1" applyAlignment="1">
      <alignment horizontal="left"/>
    </xf>
    <xf numFmtId="170" fontId="24" fillId="6" borderId="2" xfId="3" applyNumberFormat="1" applyFont="1" applyFill="1" applyBorder="1" applyAlignment="1">
      <alignment horizontal="right"/>
    </xf>
    <xf numFmtId="170" fontId="24" fillId="0" borderId="2" xfId="3" applyNumberFormat="1" applyFont="1" applyBorder="1" applyAlignment="1">
      <alignment horizontal="right"/>
    </xf>
    <xf numFmtId="15" fontId="10" fillId="0" borderId="0" xfId="0" applyNumberFormat="1" applyFont="1" applyAlignment="1">
      <alignment horizontal="left"/>
    </xf>
    <xf numFmtId="0" fontId="33" fillId="0" borderId="0" xfId="0" applyFont="1" applyAlignment="1">
      <alignment horizontal="center"/>
    </xf>
    <xf numFmtId="0" fontId="36" fillId="0" borderId="0" xfId="0" applyFont="1" applyAlignment="1">
      <alignment horizontal="left" indent="1"/>
    </xf>
    <xf numFmtId="0" fontId="24" fillId="0" borderId="0" xfId="0" applyFont="1"/>
    <xf numFmtId="0" fontId="47" fillId="2" borderId="0" xfId="0" applyFont="1" applyFill="1"/>
    <xf numFmtId="0" fontId="18" fillId="0" borderId="0" xfId="0" applyFont="1" applyAlignment="1">
      <alignment horizontal="centerContinuous"/>
    </xf>
    <xf numFmtId="0" fontId="0" fillId="0" borderId="0" xfId="0" applyAlignment="1">
      <alignment horizontal="left"/>
    </xf>
    <xf numFmtId="0" fontId="7" fillId="0" borderId="0" xfId="0" applyFont="1" applyAlignment="1">
      <alignment horizontal="left"/>
    </xf>
    <xf numFmtId="0" fontId="48" fillId="0" borderId="0" xfId="0" applyFont="1" applyAlignment="1">
      <alignment horizontal="left"/>
    </xf>
    <xf numFmtId="0" fontId="7" fillId="0" borderId="0" xfId="0" applyFont="1" applyAlignment="1">
      <alignment horizontal="left" indent="1"/>
    </xf>
    <xf numFmtId="173" fontId="0" fillId="0" borderId="0" xfId="2" applyNumberFormat="1" applyFont="1"/>
    <xf numFmtId="173" fontId="0" fillId="0" borderId="0" xfId="0" applyNumberFormat="1"/>
    <xf numFmtId="173" fontId="21" fillId="5" borderId="0" xfId="2" applyNumberFormat="1" applyFont="1" applyFill="1" applyAlignment="1">
      <alignment horizontal="right"/>
    </xf>
    <xf numFmtId="173" fontId="29" fillId="0" borderId="0" xfId="2" applyNumberFormat="1" applyFont="1"/>
    <xf numFmtId="173" fontId="29" fillId="0" borderId="0" xfId="2" applyNumberFormat="1" applyFont="1" applyAlignment="1">
      <alignment vertical="center"/>
    </xf>
    <xf numFmtId="0" fontId="46" fillId="0" borderId="4" xfId="0" applyFont="1" applyBorder="1" applyAlignment="1">
      <alignment horizontal="center"/>
    </xf>
    <xf numFmtId="10" fontId="46" fillId="0" borderId="4" xfId="0" applyNumberFormat="1" applyFont="1" applyBorder="1" applyAlignment="1">
      <alignment horizontal="center"/>
    </xf>
    <xf numFmtId="165" fontId="14" fillId="4" borderId="0" xfId="0" applyNumberFormat="1" applyFont="1" applyFill="1" applyAlignment="1">
      <alignment vertical="center"/>
    </xf>
    <xf numFmtId="0" fontId="49" fillId="10" borderId="0" xfId="0" applyFont="1" applyFill="1" applyAlignment="1">
      <alignment horizontal="left" vertical="center"/>
    </xf>
    <xf numFmtId="0" fontId="49" fillId="10" borderId="0" xfId="0" applyFont="1" applyFill="1"/>
    <xf numFmtId="0" fontId="50" fillId="11" borderId="0" xfId="0" applyFont="1" applyFill="1" applyAlignment="1">
      <alignment horizontal="left" vertical="center"/>
    </xf>
    <xf numFmtId="0" fontId="50" fillId="11" borderId="0" xfId="0" applyFont="1" applyFill="1"/>
    <xf numFmtId="0" fontId="13" fillId="4" borderId="1" xfId="0" applyFont="1" applyFill="1" applyBorder="1" applyAlignment="1">
      <alignment horizontal="left" vertical="center" indent="1"/>
    </xf>
    <xf numFmtId="164" fontId="14" fillId="4" borderId="0" xfId="0" applyNumberFormat="1" applyFont="1" applyFill="1" applyAlignment="1">
      <alignment horizontal="left" vertical="center" indent="1"/>
    </xf>
    <xf numFmtId="165" fontId="14" fillId="4" borderId="0" xfId="0" applyNumberFormat="1" applyFont="1" applyFill="1" applyAlignment="1">
      <alignment horizontal="left" vertical="center" indent="1"/>
    </xf>
    <xf numFmtId="166" fontId="14" fillId="4" borderId="0" xfId="0" applyNumberFormat="1" applyFont="1" applyFill="1" applyAlignment="1">
      <alignment horizontal="left" vertical="center" indent="1"/>
    </xf>
    <xf numFmtId="0" fontId="28" fillId="4" borderId="0" xfId="0" applyFont="1" applyFill="1" applyAlignment="1">
      <alignment horizontal="left" vertical="top" indent="1"/>
    </xf>
    <xf numFmtId="0" fontId="15" fillId="4" borderId="0" xfId="0" applyFont="1" applyFill="1" applyAlignment="1">
      <alignment horizontal="left" vertical="top" indent="1"/>
    </xf>
    <xf numFmtId="0" fontId="13" fillId="4" borderId="0" xfId="0" applyFont="1" applyFill="1" applyAlignment="1">
      <alignment horizontal="left" vertical="center" indent="1"/>
    </xf>
  </cellXfs>
  <cellStyles count="4">
    <cellStyle name="Comma" xfId="2" builtinId="3"/>
    <cellStyle name="Normal" xfId="0" builtinId="0"/>
    <cellStyle name="Normal 2" xfId="3" xr:uid="{A60F8BCF-1ED0-43CB-BC58-C4476C3956F6}"/>
    <cellStyle name="Percent" xfId="1" builtinId="5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37100"/>
      <rgbColor rgb="FF800080"/>
      <rgbColor rgb="FF008080"/>
      <rgbColor rgb="FFA5A5A5"/>
      <rgbColor rgb="FF808080"/>
      <rgbColor rgb="FF5B9BD5"/>
      <rgbColor rgb="FF993366"/>
      <rgbColor rgb="FFFFF2CC"/>
      <rgbColor rgb="FFEBF1FA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DFFFB0"/>
      <rgbColor rgb="FFEDEDED"/>
      <rgbColor rgb="FF99CCFF"/>
      <rgbColor rgb="FFFF99CC"/>
      <rgbColor rgb="FFCC99FF"/>
      <rgbColor rgb="FFFFCC99"/>
      <rgbColor rgb="FF3366FF"/>
      <rgbColor rgb="FF33CCCC"/>
      <rgbColor rgb="FF95FC00"/>
      <rgbColor rgb="FFFFCC00"/>
      <rgbColor rgb="FFFF9900"/>
      <rgbColor rgb="FFED7D31"/>
      <rgbColor rgb="FF595959"/>
      <rgbColor rgb="FF878787"/>
      <rgbColor rgb="FF003366"/>
      <rgbColor rgb="FF70AD47"/>
      <rgbColor rgb="FF003300"/>
      <rgbColor rgb="FF404040"/>
      <rgbColor rgb="FF993300"/>
      <rgbColor rgb="FF993366"/>
      <rgbColor rgb="FF1F4E79"/>
      <rgbColor rgb="FF26262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8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ID" sz="1300" b="1" u="none" strike="noStrike">
                <a:solidFill>
                  <a:schemeClr val="accent1"/>
                </a:solidFill>
                <a:uFillTx/>
                <a:latin typeface="Arial"/>
              </a:rPr>
              <a:t>Total Revenue ($B)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37100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uFillTx/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Dashboard!$C$16:$J$16</c:f>
              <c:strCache>
                <c:ptCount val="8"/>
                <c:pt idx="0">
                  <c:v>FY2024A</c:v>
                </c:pt>
                <c:pt idx="1">
                  <c:v>FY2025A</c:v>
                </c:pt>
                <c:pt idx="2">
                  <c:v>FY2026A</c:v>
                </c:pt>
                <c:pt idx="3">
                  <c:v>FY2027E</c:v>
                </c:pt>
                <c:pt idx="4">
                  <c:v>FY2028E</c:v>
                </c:pt>
                <c:pt idx="5">
                  <c:v>FY2029E</c:v>
                </c:pt>
                <c:pt idx="6">
                  <c:v>FY2030E</c:v>
                </c:pt>
                <c:pt idx="7">
                  <c:v>FY2031E</c:v>
                </c:pt>
              </c:strCache>
            </c:strRef>
          </c:cat>
          <c:val>
            <c:numRef>
              <c:f>Dashboard!$C$17:$J$17</c:f>
              <c:numCache>
                <c:formatCode>#,##0;\(#,##0\);\-</c:formatCode>
                <c:ptCount val="8"/>
                <c:pt idx="0">
                  <c:v>60922</c:v>
                </c:pt>
                <c:pt idx="1">
                  <c:v>130497</c:v>
                </c:pt>
                <c:pt idx="2">
                  <c:v>215938</c:v>
                </c:pt>
                <c:pt idx="3">
                  <c:v>405013.75</c:v>
                </c:pt>
                <c:pt idx="4">
                  <c:v>642682.67987500003</c:v>
                </c:pt>
                <c:pt idx="5">
                  <c:v>891495.90960114053</c:v>
                </c:pt>
                <c:pt idx="6">
                  <c:v>1117600.9305851224</c:v>
                </c:pt>
                <c:pt idx="7">
                  <c:v>1302654.7559462374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0-4A14-8AD4-E45A828F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8831948"/>
        <c:axId val="11939700"/>
      </c:barChart>
      <c:catAx>
        <c:axId val="188319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11939700"/>
        <c:crosses val="autoZero"/>
        <c:auto val="1"/>
        <c:lblAlgn val="ctr"/>
        <c:lblOffset val="100"/>
        <c:noMultiLvlLbl val="0"/>
      </c:catAx>
      <c:valAx>
        <c:axId val="11939700"/>
        <c:scaling>
          <c:orientation val="minMax"/>
        </c:scaling>
        <c:delete val="0"/>
        <c:axPos val="l"/>
        <c:numFmt formatCode="#,##0;\(#,##0\);\-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18831948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ID" sz="1300" b="1" u="none" strike="noStrike">
                <a:solidFill>
                  <a:schemeClr val="accent1"/>
                </a:solidFill>
                <a:uFillTx/>
                <a:latin typeface="Arial"/>
              </a:rPr>
              <a:t>Net Income ($B)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37100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uFillTx/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Dashboard!$C$16:$J$16</c:f>
              <c:strCache>
                <c:ptCount val="8"/>
                <c:pt idx="0">
                  <c:v>FY2024A</c:v>
                </c:pt>
                <c:pt idx="1">
                  <c:v>FY2025A</c:v>
                </c:pt>
                <c:pt idx="2">
                  <c:v>FY2026A</c:v>
                </c:pt>
                <c:pt idx="3">
                  <c:v>FY2027E</c:v>
                </c:pt>
                <c:pt idx="4">
                  <c:v>FY2028E</c:v>
                </c:pt>
                <c:pt idx="5">
                  <c:v>FY2029E</c:v>
                </c:pt>
                <c:pt idx="6">
                  <c:v>FY2030E</c:v>
                </c:pt>
                <c:pt idx="7">
                  <c:v>FY2031E</c:v>
                </c:pt>
              </c:strCache>
            </c:strRef>
          </c:cat>
          <c:val>
            <c:numRef>
              <c:f>Dashboard!$C$23:$J$23</c:f>
              <c:numCache>
                <c:formatCode>#,##0;\(#,##0\);\-</c:formatCode>
                <c:ptCount val="8"/>
                <c:pt idx="0">
                  <c:v>29760</c:v>
                </c:pt>
                <c:pt idx="1">
                  <c:v>72880</c:v>
                </c:pt>
                <c:pt idx="2">
                  <c:v>120067</c:v>
                </c:pt>
                <c:pt idx="3">
                  <c:v>217363.42246000003</c:v>
                </c:pt>
                <c:pt idx="4">
                  <c:v>338687.17574150476</c:v>
                </c:pt>
                <c:pt idx="5">
                  <c:v>461662.03615972551</c:v>
                </c:pt>
                <c:pt idx="6">
                  <c:v>574804.90417170618</c:v>
                </c:pt>
                <c:pt idx="7">
                  <c:v>666712.74945142108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F5-41C7-A4F1-A864BAEE5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6274916"/>
        <c:axId val="24029205"/>
      </c:barChart>
      <c:catAx>
        <c:axId val="262749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24029205"/>
        <c:crosses val="autoZero"/>
        <c:auto val="1"/>
        <c:lblAlgn val="ctr"/>
        <c:lblOffset val="100"/>
        <c:noMultiLvlLbl val="0"/>
      </c:catAx>
      <c:valAx>
        <c:axId val="24029205"/>
        <c:scaling>
          <c:orientation val="minMax"/>
        </c:scaling>
        <c:delete val="0"/>
        <c:axPos val="l"/>
        <c:numFmt formatCode="#,##0;\(#,##0\);\-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26274916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ID" sz="1300" b="1" u="none" strike="noStrike">
                <a:solidFill>
                  <a:schemeClr val="accent1"/>
                </a:solidFill>
                <a:uFillTx/>
                <a:latin typeface="Arial"/>
              </a:rPr>
              <a:t>Diluted EPS ($)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080">
              <a:solidFill>
                <a:srgbClr val="437100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uFillTx/>
                    <a:latin typeface="Arial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2808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Dashboard!$C$16:$J$16</c:f>
              <c:strCache>
                <c:ptCount val="8"/>
                <c:pt idx="0">
                  <c:v>FY2024A</c:v>
                </c:pt>
                <c:pt idx="1">
                  <c:v>FY2025A</c:v>
                </c:pt>
                <c:pt idx="2">
                  <c:v>FY2026A</c:v>
                </c:pt>
                <c:pt idx="3">
                  <c:v>FY2027E</c:v>
                </c:pt>
                <c:pt idx="4">
                  <c:v>FY2028E</c:v>
                </c:pt>
                <c:pt idx="5">
                  <c:v>FY2029E</c:v>
                </c:pt>
                <c:pt idx="6">
                  <c:v>FY2030E</c:v>
                </c:pt>
                <c:pt idx="7">
                  <c:v>FY2031E</c:v>
                </c:pt>
              </c:strCache>
            </c:strRef>
          </c:cat>
          <c:val>
            <c:numRef>
              <c:f>Dashboard!$C$24:$J$24</c:f>
              <c:numCache>
                <c:formatCode>\$#,##0.00</c:formatCode>
                <c:ptCount val="8"/>
                <c:pt idx="0">
                  <c:v>1.1932638331996792</c:v>
                </c:pt>
                <c:pt idx="1">
                  <c:v>2.9382357684244478</c:v>
                </c:pt>
                <c:pt idx="2">
                  <c:v>4.8978950803622423</c:v>
                </c:pt>
                <c:pt idx="3">
                  <c:v>8.980856385190819</c:v>
                </c:pt>
                <c:pt idx="4">
                  <c:v>14.199709632483309</c:v>
                </c:pt>
                <c:pt idx="5">
                  <c:v>19.390747149068396</c:v>
                </c:pt>
                <c:pt idx="6">
                  <c:v>24.166161436908993</c:v>
                </c:pt>
                <c:pt idx="7">
                  <c:v>28.043569033271286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1-4948-9BA6-733C6D635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61193150"/>
        <c:axId val="76722068"/>
      </c:lineChart>
      <c:catAx>
        <c:axId val="6119315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76722068"/>
        <c:crosses val="autoZero"/>
        <c:auto val="1"/>
        <c:lblAlgn val="ctr"/>
        <c:lblOffset val="100"/>
        <c:noMultiLvlLbl val="0"/>
      </c:catAx>
      <c:valAx>
        <c:axId val="76722068"/>
        <c:scaling>
          <c:orientation val="minMax"/>
        </c:scaling>
        <c:delete val="0"/>
        <c:axPos val="l"/>
        <c:numFmt formatCode="\$#,##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61193150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ID" sz="1300" b="1" u="none" strike="noStrike">
                <a:solidFill>
                  <a:schemeClr val="accent1"/>
                </a:solidFill>
                <a:uFillTx/>
                <a:latin typeface="Arial"/>
              </a:rPr>
              <a:t>Unlevered Free Cash Flow ($B)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5FC00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uFillTx/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Dashboard!$C$16:$J$16</c:f>
              <c:strCache>
                <c:ptCount val="8"/>
                <c:pt idx="0">
                  <c:v>FY2024A</c:v>
                </c:pt>
                <c:pt idx="1">
                  <c:v>FY2025A</c:v>
                </c:pt>
                <c:pt idx="2">
                  <c:v>FY2026A</c:v>
                </c:pt>
                <c:pt idx="3">
                  <c:v>FY2027E</c:v>
                </c:pt>
                <c:pt idx="4">
                  <c:v>FY2028E</c:v>
                </c:pt>
                <c:pt idx="5">
                  <c:v>FY2029E</c:v>
                </c:pt>
                <c:pt idx="6">
                  <c:v>FY2030E</c:v>
                </c:pt>
                <c:pt idx="7">
                  <c:v>FY2031E</c:v>
                </c:pt>
              </c:strCache>
            </c:strRef>
          </c:cat>
          <c:val>
            <c:numRef>
              <c:f>Dashboard!$C$25:$J$25</c:f>
              <c:numCache>
                <c:formatCode>#,##0;\(#,##0\);\-</c:formatCode>
                <c:ptCount val="8"/>
                <c:pt idx="0">
                  <c:v>0</c:v>
                </c:pt>
                <c:pt idx="3">
                  <c:v>171336.17070119863</c:v>
                </c:pt>
                <c:pt idx="4">
                  <c:v>273293.39034083998</c:v>
                </c:pt>
                <c:pt idx="5">
                  <c:v>388246.51111426955</c:v>
                </c:pt>
                <c:pt idx="6">
                  <c:v>495629.13309336337</c:v>
                </c:pt>
                <c:pt idx="7">
                  <c:v>583800.24639115331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A-44EB-81BF-C869A2D0D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4740198"/>
        <c:axId val="67977557"/>
      </c:barChart>
      <c:catAx>
        <c:axId val="2474019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67977557"/>
        <c:crosses val="autoZero"/>
        <c:auto val="1"/>
        <c:lblAlgn val="ctr"/>
        <c:lblOffset val="100"/>
        <c:noMultiLvlLbl val="0"/>
      </c:catAx>
      <c:valAx>
        <c:axId val="67977557"/>
        <c:scaling>
          <c:orientation val="minMax"/>
        </c:scaling>
        <c:delete val="0"/>
        <c:axPos val="l"/>
        <c:numFmt formatCode="#,##0;\(#,##0\);\-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24740198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ID" sz="1300" b="1" u="none" strike="noStrike">
                <a:solidFill>
                  <a:schemeClr val="accent1"/>
                </a:solidFill>
                <a:uFillTx/>
                <a:latin typeface="Arial"/>
              </a:rPr>
              <a:t>Gross Profit ($B)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37100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uFillTx/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Dashboard!$C$16:$J$16</c:f>
              <c:strCache>
                <c:ptCount val="8"/>
                <c:pt idx="0">
                  <c:v>FY2024A</c:v>
                </c:pt>
                <c:pt idx="1">
                  <c:v>FY2025A</c:v>
                </c:pt>
                <c:pt idx="2">
                  <c:v>FY2026A</c:v>
                </c:pt>
                <c:pt idx="3">
                  <c:v>FY2027E</c:v>
                </c:pt>
                <c:pt idx="4">
                  <c:v>FY2028E</c:v>
                </c:pt>
                <c:pt idx="5">
                  <c:v>FY2029E</c:v>
                </c:pt>
                <c:pt idx="6">
                  <c:v>FY2030E</c:v>
                </c:pt>
                <c:pt idx="7">
                  <c:v>FY2031E</c:v>
                </c:pt>
              </c:strCache>
            </c:strRef>
          </c:cat>
          <c:val>
            <c:numRef>
              <c:f>Dashboard!$C$19:$J$19</c:f>
              <c:numCache>
                <c:formatCode>#,##0;\(#,##0\);\-</c:formatCode>
                <c:ptCount val="8"/>
                <c:pt idx="0">
                  <c:v>44301</c:v>
                </c:pt>
                <c:pt idx="1">
                  <c:v>97858</c:v>
                </c:pt>
                <c:pt idx="2">
                  <c:v>153463</c:v>
                </c:pt>
                <c:pt idx="3">
                  <c:v>303760.3125</c:v>
                </c:pt>
                <c:pt idx="4">
                  <c:v>473978.47640781256</c:v>
                </c:pt>
                <c:pt idx="5">
                  <c:v>646334.53446082701</c:v>
                </c:pt>
                <c:pt idx="6">
                  <c:v>796290.66304189991</c:v>
                </c:pt>
                <c:pt idx="7">
                  <c:v>911858.32916236646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6-496A-A203-BE8817986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1665952"/>
        <c:axId val="23070963"/>
      </c:barChart>
      <c:catAx>
        <c:axId val="71665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23070963"/>
        <c:crosses val="autoZero"/>
        <c:auto val="1"/>
        <c:lblAlgn val="ctr"/>
        <c:lblOffset val="100"/>
        <c:noMultiLvlLbl val="0"/>
      </c:catAx>
      <c:valAx>
        <c:axId val="23070963"/>
        <c:scaling>
          <c:orientation val="minMax"/>
        </c:scaling>
        <c:delete val="0"/>
        <c:axPos val="l"/>
        <c:numFmt formatCode="#,##0;\(#,##0\);\-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71665952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ID" sz="1300" b="1" u="none" strike="noStrike">
                <a:solidFill>
                  <a:schemeClr val="accent1"/>
                </a:solidFill>
                <a:uFillTx/>
                <a:latin typeface="Arial"/>
              </a:rPr>
              <a:t>Operating Income ($B)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37100"/>
            </a:solidFill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uFillTx/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Dashboard!$C$16:$J$16</c:f>
              <c:strCache>
                <c:ptCount val="8"/>
                <c:pt idx="0">
                  <c:v>FY2024A</c:v>
                </c:pt>
                <c:pt idx="1">
                  <c:v>FY2025A</c:v>
                </c:pt>
                <c:pt idx="2">
                  <c:v>FY2026A</c:v>
                </c:pt>
                <c:pt idx="3">
                  <c:v>FY2027E</c:v>
                </c:pt>
                <c:pt idx="4">
                  <c:v>FY2028E</c:v>
                </c:pt>
                <c:pt idx="5">
                  <c:v>FY2029E</c:v>
                </c:pt>
                <c:pt idx="6">
                  <c:v>FY2030E</c:v>
                </c:pt>
                <c:pt idx="7">
                  <c:v>FY2031E</c:v>
                </c:pt>
              </c:strCache>
            </c:strRef>
          </c:cat>
          <c:val>
            <c:numRef>
              <c:f>Dashboard!$C$21:$J$21</c:f>
              <c:numCache>
                <c:formatCode>#,##0;\(#,##0\);\-</c:formatCode>
                <c:ptCount val="8"/>
                <c:pt idx="0">
                  <c:v>32972</c:v>
                </c:pt>
                <c:pt idx="1">
                  <c:v>81453</c:v>
                </c:pt>
                <c:pt idx="2">
                  <c:v>130387</c:v>
                </c:pt>
                <c:pt idx="3">
                  <c:v>259208.80000000002</c:v>
                </c:pt>
                <c:pt idx="4">
                  <c:v>403283.38162156258</c:v>
                </c:pt>
                <c:pt idx="5">
                  <c:v>548269.98440470151</c:v>
                </c:pt>
                <c:pt idx="6">
                  <c:v>673354.56067753641</c:v>
                </c:pt>
                <c:pt idx="7">
                  <c:v>768566.30600828037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05-4A5D-B6FB-489777834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6389918"/>
        <c:axId val="10528803"/>
      </c:barChart>
      <c:catAx>
        <c:axId val="4638991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10528803"/>
        <c:crosses val="autoZero"/>
        <c:auto val="1"/>
        <c:lblAlgn val="ctr"/>
        <c:lblOffset val="100"/>
        <c:noMultiLvlLbl val="0"/>
      </c:catAx>
      <c:valAx>
        <c:axId val="10528803"/>
        <c:scaling>
          <c:orientation val="minMax"/>
        </c:scaling>
        <c:delete val="0"/>
        <c:axPos val="l"/>
        <c:numFmt formatCode="#,##0;\(#,##0\);\-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46389918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lang="en-ID" sz="1300" b="1" u="none" strike="noStrike">
                <a:solidFill>
                  <a:schemeClr val="accent1"/>
                </a:solidFill>
                <a:uFillTx/>
                <a:latin typeface="Arial"/>
              </a:rPr>
              <a:t>DCF Value Build ($B)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 w="126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u="none" strike="noStrike">
                    <a:solidFill>
                      <a:srgbClr val="000000"/>
                    </a:solidFill>
                    <a:uFillTx/>
                    <a:latin typeface="Arial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Dashboard!$B$185:$B$189</c:f>
              <c:strCache>
                <c:ptCount val="5"/>
                <c:pt idx="0">
                  <c:v>PV Explicit UFCF</c:v>
                </c:pt>
                <c:pt idx="1">
                  <c:v>PV Terminal Value</c:v>
                </c:pt>
                <c:pt idx="2">
                  <c:v>Enterprise Value</c:v>
                </c:pt>
                <c:pt idx="3">
                  <c:v>Less: Net Debt</c:v>
                </c:pt>
                <c:pt idx="4">
                  <c:v>Equity Value</c:v>
                </c:pt>
              </c:strCache>
            </c:strRef>
          </c:cat>
          <c:val>
            <c:numRef>
              <c:f>Dashboard!$C$185:$C$189</c:f>
              <c:numCache>
                <c:formatCode>#,##0;\(#,##0\);\-</c:formatCode>
                <c:ptCount val="5"/>
                <c:pt idx="0">
                  <c:v>0</c:v>
                </c:pt>
                <c:pt idx="1">
                  <c:v>1311696.9849860724</c:v>
                </c:pt>
                <c:pt idx="2">
                  <c:v>0</c:v>
                </c:pt>
                <c:pt idx="3">
                  <c:v>5394766.7038550088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C8-4E31-8E33-7740B6A2B3B4}"/>
            </c:ext>
          </c:extLst>
        </c:ser>
        <c:ser>
          <c:idx val="1"/>
          <c:order val="1"/>
          <c:spPr>
            <a:solidFill>
              <a:srgbClr val="437100"/>
            </a:solidFill>
            <a:ln w="126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5FC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2-23C8-4E31-8E33-7740B6A2B3B4}"/>
              </c:ext>
            </c:extLst>
          </c:dPt>
          <c:dPt>
            <c:idx val="1"/>
            <c:invertIfNegative val="0"/>
            <c:bubble3D val="0"/>
            <c:spPr>
              <a:solidFill>
                <a:srgbClr val="95FC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4-23C8-4E31-8E33-7740B6A2B3B4}"/>
              </c:ext>
            </c:extLst>
          </c:dPt>
          <c:dPt>
            <c:idx val="2"/>
            <c:invertIfNegative val="0"/>
            <c:bubble3D val="0"/>
            <c:spPr>
              <a:solidFill>
                <a:srgbClr val="4371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6-23C8-4E31-8E33-7740B6A2B3B4}"/>
              </c:ext>
            </c:extLst>
          </c:dPt>
          <c:dPt>
            <c:idx val="3"/>
            <c:invertIfNegative val="0"/>
            <c:bubble3D val="0"/>
            <c:spPr>
              <a:solidFill>
                <a:srgbClr val="59595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8-23C8-4E31-8E33-7740B6A2B3B4}"/>
              </c:ext>
            </c:extLst>
          </c:dPt>
          <c:dPt>
            <c:idx val="4"/>
            <c:invertIfNegative val="0"/>
            <c:bubble3D val="0"/>
            <c:spPr>
              <a:solidFill>
                <a:srgbClr val="437100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A-23C8-4E31-8E33-7740B6A2B3B4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Tx/>
                      <a:latin typeface="Arial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C8-4E31-8E33-7740B6A2B3B4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Tx/>
                      <a:latin typeface="Arial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C8-4E31-8E33-7740B6A2B3B4}"/>
                </c:ext>
              </c:extLst>
            </c:dLbl>
            <c:dLbl>
              <c:idx val="2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Tx/>
                      <a:latin typeface="Arial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C8-4E31-8E33-7740B6A2B3B4}"/>
                </c:ext>
              </c:extLst>
            </c:dLbl>
            <c:dLbl>
              <c:idx val="3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Tx/>
                      <a:latin typeface="Arial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3C8-4E31-8E33-7740B6A2B3B4}"/>
                </c:ext>
              </c:extLst>
            </c:dLbl>
            <c:dLbl>
              <c:idx val="4"/>
              <c:spPr/>
              <c:txPr>
                <a:bodyPr wrap="square"/>
                <a:lstStyle/>
                <a:p>
                  <a:pPr>
                    <a:defRPr sz="900" b="0" u="none" strike="noStrike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uFillTx/>
                      <a:latin typeface="Arial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3C8-4E31-8E33-7740B6A2B3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900" b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uFillTx/>
                    <a:latin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0">
                      <a:solidFill>
                        <a:srgbClr val="000000"/>
                      </a:solidFill>
                    </a:ln>
                  </c:spPr>
                </c15:leaderLines>
              </c:ext>
            </c:extLst>
          </c:dLbls>
          <c:cat>
            <c:strRef>
              <c:f>Dashboard!$B$185:$B$189</c:f>
              <c:strCache>
                <c:ptCount val="5"/>
                <c:pt idx="0">
                  <c:v>PV Explicit UFCF</c:v>
                </c:pt>
                <c:pt idx="1">
                  <c:v>PV Terminal Value</c:v>
                </c:pt>
                <c:pt idx="2">
                  <c:v>Enterprise Value</c:v>
                </c:pt>
                <c:pt idx="3">
                  <c:v>Less: Net Debt</c:v>
                </c:pt>
                <c:pt idx="4">
                  <c:v>Equity Value</c:v>
                </c:pt>
              </c:strCache>
            </c:strRef>
          </c:cat>
          <c:val>
            <c:numRef>
              <c:f>Dashboard!$D$185:$D$189</c:f>
              <c:numCache>
                <c:formatCode>#,##0;\(#,##0\);\-</c:formatCode>
                <c:ptCount val="5"/>
                <c:pt idx="0">
                  <c:v>1311696.9849860724</c:v>
                </c:pt>
                <c:pt idx="1">
                  <c:v>4083069.7188689364</c:v>
                </c:pt>
                <c:pt idx="2">
                  <c:v>5394766.7038550088</c:v>
                </c:pt>
                <c:pt idx="3">
                  <c:v>54088</c:v>
                </c:pt>
                <c:pt idx="4">
                  <c:v>5448854.7038550088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C8-4E31-8E33-7740B6A2B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13259544"/>
        <c:axId val="60635851"/>
      </c:barChart>
      <c:catAx>
        <c:axId val="132595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60635851"/>
        <c:crosses val="autoZero"/>
        <c:auto val="1"/>
        <c:lblAlgn val="ctr"/>
        <c:lblOffset val="100"/>
        <c:noMultiLvlLbl val="0"/>
      </c:catAx>
      <c:valAx>
        <c:axId val="60635851"/>
        <c:scaling>
          <c:orientation val="minMax"/>
        </c:scaling>
        <c:delete val="0"/>
        <c:axPos val="l"/>
        <c:numFmt formatCode="#,##0;\(#,##0\);\-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u="none" strike="noStrike">
                <a:solidFill>
                  <a:schemeClr val="tx1">
                    <a:lumMod val="75000"/>
                    <a:lumOff val="25000"/>
                  </a:schemeClr>
                </a:solidFill>
                <a:uFillTx/>
                <a:latin typeface="Arial"/>
              </a:defRPr>
            </a:pPr>
            <a:endParaRPr lang="en-US"/>
          </a:p>
        </c:txPr>
        <c:crossAx val="13259544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3" dropStyle="combo" dx="31" fmlaLink="$D$2" fmlaRange="$H$1:$H$3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1060450</xdr:colOff>
      <xdr:row>0</xdr:row>
      <xdr:rowOff>86904</xdr:rowOff>
    </xdr:from>
    <xdr:to>
      <xdr:col>3</xdr:col>
      <xdr:colOff>1516930</xdr:colOff>
      <xdr:row>2</xdr:row>
      <xdr:rowOff>76824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802033" y="86904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127002</xdr:colOff>
      <xdr:row>112</xdr:row>
      <xdr:rowOff>31747</xdr:rowOff>
    </xdr:from>
    <xdr:to>
      <xdr:col>4</xdr:col>
      <xdr:colOff>285752</xdr:colOff>
      <xdr:row>125</xdr:row>
      <xdr:rowOff>179584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349252</xdr:colOff>
      <xdr:row>112</xdr:row>
      <xdr:rowOff>31747</xdr:rowOff>
    </xdr:from>
    <xdr:to>
      <xdr:col>10</xdr:col>
      <xdr:colOff>269533</xdr:colOff>
      <xdr:row>125</xdr:row>
      <xdr:rowOff>179584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127002</xdr:colOff>
      <xdr:row>129</xdr:row>
      <xdr:rowOff>31747</xdr:rowOff>
    </xdr:from>
    <xdr:to>
      <xdr:col>4</xdr:col>
      <xdr:colOff>285752</xdr:colOff>
      <xdr:row>142</xdr:row>
      <xdr:rowOff>179585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349252</xdr:colOff>
      <xdr:row>129</xdr:row>
      <xdr:rowOff>31747</xdr:rowOff>
    </xdr:from>
    <xdr:to>
      <xdr:col>10</xdr:col>
      <xdr:colOff>269533</xdr:colOff>
      <xdr:row>142</xdr:row>
      <xdr:rowOff>179585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127002</xdr:colOff>
      <xdr:row>145</xdr:row>
      <xdr:rowOff>31748</xdr:rowOff>
    </xdr:from>
    <xdr:to>
      <xdr:col>4</xdr:col>
      <xdr:colOff>285752</xdr:colOff>
      <xdr:row>158</xdr:row>
      <xdr:rowOff>179914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349252</xdr:colOff>
      <xdr:row>145</xdr:row>
      <xdr:rowOff>31748</xdr:rowOff>
    </xdr:from>
    <xdr:to>
      <xdr:col>10</xdr:col>
      <xdr:colOff>269533</xdr:colOff>
      <xdr:row>158</xdr:row>
      <xdr:rowOff>179914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127002</xdr:colOff>
      <xdr:row>162</xdr:row>
      <xdr:rowOff>31748</xdr:rowOff>
    </xdr:from>
    <xdr:to>
      <xdr:col>4</xdr:col>
      <xdr:colOff>285752</xdr:colOff>
      <xdr:row>175</xdr:row>
      <xdr:rowOff>179915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9</xdr:col>
      <xdr:colOff>762000</xdr:colOff>
      <xdr:row>0</xdr:row>
      <xdr:rowOff>95251</xdr:rowOff>
    </xdr:from>
    <xdr:to>
      <xdr:col>10</xdr:col>
      <xdr:colOff>223647</xdr:colOff>
      <xdr:row>2</xdr:row>
      <xdr:rowOff>85171</xdr:rowOff>
    </xdr:to>
    <xdr:pic>
      <xdr:nvPicPr>
        <xdr:cNvPr id="9" name="Image 1" descr="Pictur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/>
      </xdr:nvPicPr>
      <xdr:blipFill>
        <a:blip xmlns:r="http://schemas.openxmlformats.org/officeDocument/2006/relationships" r:embed="rId8"/>
        <a:stretch/>
      </xdr:blipFill>
      <xdr:spPr>
        <a:xfrm>
          <a:off x="10466917" y="95251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</xdr:row>
          <xdr:rowOff>38100</xdr:rowOff>
        </xdr:from>
        <xdr:to>
          <xdr:col>4</xdr:col>
          <xdr:colOff>641350</xdr:colOff>
          <xdr:row>2</xdr:row>
          <xdr:rowOff>107950</xdr:rowOff>
        </xdr:to>
        <xdr:sp macro="" textlink="">
          <xdr:nvSpPr>
            <xdr:cNvPr id="24580" name="Drop Dow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2899834</xdr:colOff>
      <xdr:row>0</xdr:row>
      <xdr:rowOff>63500</xdr:rowOff>
    </xdr:from>
    <xdr:to>
      <xdr:col>5</xdr:col>
      <xdr:colOff>244814</xdr:colOff>
      <xdr:row>2</xdr:row>
      <xdr:rowOff>53420</xdr:rowOff>
    </xdr:to>
    <xdr:pic>
      <xdr:nvPicPr>
        <xdr:cNvPr id="6" name="Image 1" descr="Pictur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514167" y="63500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116416</xdr:colOff>
      <xdr:row>0</xdr:row>
      <xdr:rowOff>95251</xdr:rowOff>
    </xdr:from>
    <xdr:to>
      <xdr:col>7</xdr:col>
      <xdr:colOff>572896</xdr:colOff>
      <xdr:row>2</xdr:row>
      <xdr:rowOff>85171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969249" y="95251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95250</xdr:colOff>
      <xdr:row>0</xdr:row>
      <xdr:rowOff>84666</xdr:rowOff>
    </xdr:from>
    <xdr:to>
      <xdr:col>9</xdr:col>
      <xdr:colOff>551730</xdr:colOff>
      <xdr:row>2</xdr:row>
      <xdr:rowOff>74586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958667" y="84666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84667</xdr:rowOff>
    </xdr:from>
    <xdr:to>
      <xdr:col>9</xdr:col>
      <xdr:colOff>456480</xdr:colOff>
      <xdr:row>2</xdr:row>
      <xdr:rowOff>74587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789333" y="84667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116418</xdr:colOff>
      <xdr:row>0</xdr:row>
      <xdr:rowOff>95250</xdr:rowOff>
    </xdr:from>
    <xdr:to>
      <xdr:col>9</xdr:col>
      <xdr:colOff>572898</xdr:colOff>
      <xdr:row>2</xdr:row>
      <xdr:rowOff>85170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212668" y="95250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736600</xdr:colOff>
      <xdr:row>0</xdr:row>
      <xdr:rowOff>114300</xdr:rowOff>
    </xdr:from>
    <xdr:to>
      <xdr:col>9</xdr:col>
      <xdr:colOff>450130</xdr:colOff>
      <xdr:row>2</xdr:row>
      <xdr:rowOff>102103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039100" y="114300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67235</xdr:colOff>
      <xdr:row>0</xdr:row>
      <xdr:rowOff>119529</xdr:rowOff>
    </xdr:from>
    <xdr:to>
      <xdr:col>9</xdr:col>
      <xdr:colOff>523715</xdr:colOff>
      <xdr:row>2</xdr:row>
      <xdr:rowOff>101356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068235" y="119529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311726</xdr:colOff>
      <xdr:row>0</xdr:row>
      <xdr:rowOff>80817</xdr:rowOff>
    </xdr:from>
    <xdr:to>
      <xdr:col>9</xdr:col>
      <xdr:colOff>768206</xdr:colOff>
      <xdr:row>2</xdr:row>
      <xdr:rowOff>64002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0945090" y="80817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292100</xdr:colOff>
      <xdr:row>0</xdr:row>
      <xdr:rowOff>88900</xdr:rowOff>
    </xdr:from>
    <xdr:to>
      <xdr:col>6</xdr:col>
      <xdr:colOff>748580</xdr:colOff>
      <xdr:row>2</xdr:row>
      <xdr:rowOff>76703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039100" y="88900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216647</xdr:colOff>
      <xdr:row>0</xdr:row>
      <xdr:rowOff>104588</xdr:rowOff>
    </xdr:from>
    <xdr:to>
      <xdr:col>7</xdr:col>
      <xdr:colOff>673127</xdr:colOff>
      <xdr:row>2</xdr:row>
      <xdr:rowOff>86415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926294" y="104588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18144</xdr:colOff>
      <xdr:row>0</xdr:row>
      <xdr:rowOff>99786</xdr:rowOff>
    </xdr:from>
    <xdr:to>
      <xdr:col>9</xdr:col>
      <xdr:colOff>474624</xdr:colOff>
      <xdr:row>2</xdr:row>
      <xdr:rowOff>91218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774215" y="99786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3279589</xdr:colOff>
      <xdr:row>0</xdr:row>
      <xdr:rowOff>119529</xdr:rowOff>
    </xdr:from>
    <xdr:to>
      <xdr:col>4</xdr:col>
      <xdr:colOff>3736069</xdr:colOff>
      <xdr:row>2</xdr:row>
      <xdr:rowOff>101356</xdr:rowOff>
    </xdr:to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210177" y="119529"/>
          <a:ext cx="456480" cy="445003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pany__NVDA%20FY2026%20Rev%2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SUS\Downloads\asdfasdas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Dashboard"/>
      <sheetName val="Assumptions"/>
      <sheetName val="Historical_Data"/>
      <sheetName val="Revenue_Build"/>
      <sheetName val="Capital_Allocation"/>
      <sheetName val="Cash_Flow"/>
      <sheetName val="Balance_Sheet"/>
      <sheetName val="Working_Capital"/>
      <sheetName val="Debt_Schedule"/>
      <sheetName val="Income_Statement"/>
      <sheetName val="Valuation"/>
      <sheetName val="Ratios"/>
      <sheetName val="Checks"/>
      <sheetName val="Disclaimer"/>
    </sheetNames>
    <sheetDataSet>
      <sheetData sheetId="0"/>
      <sheetData sheetId="1"/>
      <sheetData sheetId="2">
        <row r="7">
          <cell r="C7">
            <v>0.11033026218805889</v>
          </cell>
        </row>
        <row r="8">
          <cell r="C8">
            <v>0.03</v>
          </cell>
        </row>
        <row r="9">
          <cell r="C9">
            <v>0.04</v>
          </cell>
        </row>
        <row r="10">
          <cell r="C10">
            <v>0.95</v>
          </cell>
        </row>
        <row r="11">
          <cell r="C11">
            <v>0.95</v>
          </cell>
        </row>
        <row r="12">
          <cell r="C12">
            <v>0.2</v>
          </cell>
        </row>
        <row r="13">
          <cell r="C13">
            <v>0.6</v>
          </cell>
        </row>
        <row r="14">
          <cell r="C14">
            <v>0.35</v>
          </cell>
        </row>
        <row r="15">
          <cell r="C15">
            <v>0</v>
          </cell>
        </row>
        <row r="16">
          <cell r="C16">
            <v>0.65</v>
          </cell>
        </row>
        <row r="17">
          <cell r="C17">
            <v>0.74</v>
          </cell>
        </row>
        <row r="18">
          <cell r="C18">
            <v>0.75</v>
          </cell>
        </row>
        <row r="19">
          <cell r="C19">
            <v>0.09</v>
          </cell>
        </row>
        <row r="20">
          <cell r="C20">
            <v>0.02</v>
          </cell>
        </row>
        <row r="21">
          <cell r="C21">
            <v>2.2499999999999999E-2</v>
          </cell>
        </row>
        <row r="23">
          <cell r="C23">
            <v>0.17</v>
          </cell>
        </row>
        <row r="24">
          <cell r="C24">
            <v>70</v>
          </cell>
        </row>
        <row r="25">
          <cell r="C25">
            <v>140</v>
          </cell>
        </row>
        <row r="26">
          <cell r="C26">
            <v>60</v>
          </cell>
        </row>
        <row r="27">
          <cell r="C27">
            <v>0.03</v>
          </cell>
        </row>
        <row r="28">
          <cell r="C28">
            <v>1</v>
          </cell>
        </row>
        <row r="32">
          <cell r="C32">
            <v>60</v>
          </cell>
        </row>
        <row r="33">
          <cell r="C33">
            <v>22</v>
          </cell>
        </row>
        <row r="34">
          <cell r="C34">
            <v>30</v>
          </cell>
        </row>
      </sheetData>
      <sheetData sheetId="3">
        <row r="42">
          <cell r="D42">
            <v>10080</v>
          </cell>
          <cell r="E42">
            <v>21403</v>
          </cell>
        </row>
        <row r="47">
          <cell r="C47">
            <v>2699</v>
          </cell>
          <cell r="D47">
            <v>6310</v>
          </cell>
          <cell r="E47">
            <v>9812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>
        <row r="28">
          <cell r="C28">
            <v>254.85167263347287</v>
          </cell>
        </row>
      </sheetData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ing_Capital"/>
    </sheetNames>
    <sheetDataSet>
      <sheetData sheetId="0">
        <row r="13">
          <cell r="C13" t="str">
            <v>USD, $ in millions (except per share)</v>
          </cell>
          <cell r="E13">
            <v>38466</v>
          </cell>
          <cell r="F13">
            <v>72125.736301369863</v>
          </cell>
          <cell r="G13">
            <v>114450.34025171233</v>
          </cell>
          <cell r="H13">
            <v>158759.54554540859</v>
          </cell>
          <cell r="I13">
            <v>199024.82325488483</v>
          </cell>
          <cell r="J13">
            <v>231979.61407261761</v>
          </cell>
        </row>
        <row r="14">
          <cell r="C14" t="str">
            <v>FY2023A - FY2025A (10-K filings)</v>
          </cell>
          <cell r="E14">
            <v>21403</v>
          </cell>
          <cell r="F14">
            <v>33288.801369863009</v>
          </cell>
          <cell r="G14">
            <v>55464.395660445196</v>
          </cell>
          <cell r="H14">
            <v>80601.000046130488</v>
          </cell>
          <cell r="I14">
            <v>105636.25234297727</v>
          </cell>
          <cell r="J14">
            <v>128481.01702483431</v>
          </cell>
        </row>
        <row r="15">
          <cell r="C15" t="str">
            <v>FY2026E - FY2030E (5 years)</v>
          </cell>
          <cell r="E15">
            <v>9812</v>
          </cell>
          <cell r="F15">
            <v>16644.400684931505</v>
          </cell>
          <cell r="G15">
            <v>27732.197830222598</v>
          </cell>
          <cell r="H15">
            <v>40300.500023065244</v>
          </cell>
          <cell r="I15">
            <v>52818.126171488635</v>
          </cell>
          <cell r="J15">
            <v>64240.508512417153</v>
          </cell>
        </row>
        <row r="18">
          <cell r="C18"/>
          <cell r="E18">
            <v>50057</v>
          </cell>
          <cell r="F18">
            <v>88770.136986301368</v>
          </cell>
          <cell r="G18">
            <v>142182.53808193491</v>
          </cell>
          <cell r="H18">
            <v>199060.04556847381</v>
          </cell>
          <cell r="I18">
            <v>251842.9494263735</v>
          </cell>
          <cell r="J18">
            <v>296220.12258503475</v>
          </cell>
        </row>
        <row r="19">
          <cell r="C19"/>
          <cell r="E19">
            <v>50057</v>
          </cell>
          <cell r="F19">
            <v>38713.136986301368</v>
          </cell>
          <cell r="G19">
            <v>53412.401095633541</v>
          </cell>
          <cell r="H19">
            <v>56877.507486538903</v>
          </cell>
          <cell r="I19">
            <v>52782.903857899684</v>
          </cell>
          <cell r="J19">
            <v>44377.173158661259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37100"/>
      </a:dk2>
      <a:lt2>
        <a:srgbClr val="EEECE1"/>
      </a:lt2>
      <a:accent1>
        <a:srgbClr val="437100"/>
      </a:accent1>
      <a:accent2>
        <a:srgbClr val="7B9C4C"/>
      </a:accent2>
      <a:accent3>
        <a:srgbClr val="AABF8C"/>
      </a:accent3>
      <a:accent4>
        <a:srgbClr val="375D00"/>
      </a:accent4>
      <a:accent5>
        <a:srgbClr val="5F8626"/>
      </a:accent5>
      <a:accent6>
        <a:srgbClr val="2C4900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AD37"/>
  <sheetViews>
    <sheetView showGridLines="0" view="pageBreakPreview" zoomScale="60" zoomScaleNormal="100" workbookViewId="0">
      <selection activeCell="E32" sqref="E32"/>
    </sheetView>
  </sheetViews>
  <sheetFormatPr defaultColWidth="8.58203125" defaultRowHeight="14"/>
  <cols>
    <col min="1" max="1" width="2.5" customWidth="1"/>
    <col min="2" max="2" width="30" customWidth="1"/>
    <col min="3" max="3" width="56" customWidth="1"/>
    <col min="4" max="4" width="22" customWidth="1"/>
    <col min="7" max="7" width="13" customWidth="1"/>
  </cols>
  <sheetData>
    <row r="1" spans="1:30" ht="14.5">
      <c r="A1" s="1"/>
      <c r="B1" s="146" t="s">
        <v>424</v>
      </c>
      <c r="C1" s="1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21.75" customHeight="1">
      <c r="A2" s="1"/>
      <c r="B2" s="3" t="s">
        <v>0</v>
      </c>
      <c r="C2" s="1"/>
      <c r="D2" s="4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5">
      <c r="A3" s="1"/>
      <c r="B3" s="5" t="s">
        <v>1</v>
      </c>
      <c r="C3" s="1"/>
      <c r="D3" s="146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>
      <c r="A4" s="6"/>
      <c r="B4" s="6"/>
      <c r="C4" s="6"/>
    </row>
    <row r="5" spans="1:30">
      <c r="A5" s="6"/>
      <c r="B5" s="7" t="s">
        <v>2</v>
      </c>
      <c r="C5" s="8"/>
    </row>
    <row r="6" spans="1:30">
      <c r="A6" s="6"/>
      <c r="B6" s="9" t="s">
        <v>3</v>
      </c>
      <c r="C6" s="10" t="s">
        <v>4</v>
      </c>
    </row>
    <row r="7" spans="1:30">
      <c r="A7" s="6"/>
      <c r="B7" s="9" t="s">
        <v>5</v>
      </c>
      <c r="C7" s="10" t="s">
        <v>6</v>
      </c>
    </row>
    <row r="8" spans="1:30">
      <c r="A8" s="6"/>
      <c r="B8" s="9" t="s">
        <v>7</v>
      </c>
      <c r="C8" s="142">
        <v>46047</v>
      </c>
    </row>
    <row r="9" spans="1:30">
      <c r="A9" s="6"/>
      <c r="B9" s="9" t="s">
        <v>8</v>
      </c>
      <c r="C9" s="10" t="s">
        <v>9</v>
      </c>
    </row>
    <row r="10" spans="1:30">
      <c r="A10" s="6"/>
      <c r="B10" s="9" t="s">
        <v>10</v>
      </c>
      <c r="C10" s="115" t="s">
        <v>418</v>
      </c>
    </row>
    <row r="11" spans="1:30">
      <c r="A11" s="6"/>
      <c r="B11" s="9" t="s">
        <v>11</v>
      </c>
      <c r="C11" s="115" t="s">
        <v>419</v>
      </c>
    </row>
    <row r="12" spans="1:30">
      <c r="A12" s="6"/>
      <c r="B12" s="9" t="s">
        <v>12</v>
      </c>
      <c r="C12" s="10" t="s">
        <v>13</v>
      </c>
    </row>
    <row r="13" spans="1:30">
      <c r="A13" s="6"/>
      <c r="B13" s="9" t="s">
        <v>14</v>
      </c>
      <c r="C13" s="115" t="s">
        <v>420</v>
      </c>
    </row>
    <row r="14" spans="1:30">
      <c r="A14" s="6"/>
      <c r="B14" s="6"/>
      <c r="C14" s="6"/>
    </row>
    <row r="15" spans="1:30">
      <c r="A15" s="6"/>
      <c r="B15" s="7" t="s">
        <v>15</v>
      </c>
      <c r="C15" s="8"/>
    </row>
    <row r="16" spans="1:30">
      <c r="A16" s="6"/>
      <c r="B16" s="9" t="s">
        <v>16</v>
      </c>
      <c r="C16" s="10" t="s">
        <v>17</v>
      </c>
    </row>
    <row r="17" spans="1:4">
      <c r="A17" s="6"/>
      <c r="B17" s="9" t="s">
        <v>18</v>
      </c>
      <c r="C17" s="115" t="s">
        <v>421</v>
      </c>
    </row>
    <row r="18" spans="1:4">
      <c r="A18" s="6"/>
      <c r="B18" s="9" t="s">
        <v>19</v>
      </c>
      <c r="C18" s="10" t="s">
        <v>20</v>
      </c>
    </row>
    <row r="19" spans="1:4">
      <c r="A19" s="6"/>
      <c r="B19" s="9" t="s">
        <v>21</v>
      </c>
      <c r="C19" s="10" t="s">
        <v>22</v>
      </c>
    </row>
    <row r="20" spans="1:4">
      <c r="A20" s="6"/>
      <c r="B20" s="9" t="s">
        <v>23</v>
      </c>
      <c r="C20" s="115" t="s">
        <v>404</v>
      </c>
      <c r="D20" s="97"/>
    </row>
    <row r="21" spans="1:4">
      <c r="A21" s="6"/>
      <c r="B21" s="9" t="s">
        <v>24</v>
      </c>
      <c r="C21" s="10" t="s">
        <v>25</v>
      </c>
      <c r="D21" s="122"/>
    </row>
    <row r="22" spans="1:4">
      <c r="A22" s="6"/>
      <c r="B22" s="9" t="s">
        <v>26</v>
      </c>
      <c r="C22" s="10" t="s">
        <v>27</v>
      </c>
      <c r="D22" s="144"/>
    </row>
    <row r="23" spans="1:4">
      <c r="A23" s="6"/>
      <c r="B23" s="9" t="s">
        <v>28</v>
      </c>
      <c r="C23" s="10" t="s">
        <v>29</v>
      </c>
      <c r="D23" s="144"/>
    </row>
    <row r="24" spans="1:4">
      <c r="A24" s="6"/>
      <c r="B24" s="145" t="s">
        <v>422</v>
      </c>
      <c r="C24" s="115" t="s">
        <v>423</v>
      </c>
      <c r="D24" s="144"/>
    </row>
    <row r="25" spans="1:4">
      <c r="A25" s="6"/>
      <c r="B25" s="9" t="s">
        <v>12</v>
      </c>
      <c r="C25" s="10" t="s">
        <v>30</v>
      </c>
      <c r="D25" s="144"/>
    </row>
    <row r="26" spans="1:4">
      <c r="A26" s="6"/>
      <c r="B26" s="9" t="s">
        <v>31</v>
      </c>
      <c r="C26" s="10" t="s">
        <v>32</v>
      </c>
      <c r="D26" s="144"/>
    </row>
    <row r="27" spans="1:4">
      <c r="A27" s="6"/>
      <c r="B27" s="9" t="s">
        <v>33</v>
      </c>
      <c r="C27" s="10" t="s">
        <v>34</v>
      </c>
    </row>
    <row r="28" spans="1:4">
      <c r="A28" s="6"/>
      <c r="B28" s="6"/>
      <c r="C28" s="6"/>
    </row>
    <row r="29" spans="1:4">
      <c r="A29" s="6"/>
      <c r="B29" s="7" t="s">
        <v>35</v>
      </c>
      <c r="C29" s="8"/>
    </row>
    <row r="30" spans="1:4">
      <c r="A30" s="6"/>
      <c r="B30" s="10" t="s">
        <v>36</v>
      </c>
      <c r="C30" s="10" t="s">
        <v>37</v>
      </c>
    </row>
    <row r="31" spans="1:4">
      <c r="A31" s="6"/>
      <c r="B31" s="10" t="s">
        <v>38</v>
      </c>
      <c r="C31" s="10" t="s">
        <v>39</v>
      </c>
    </row>
    <row r="32" spans="1:4">
      <c r="A32" s="6"/>
      <c r="B32" s="10" t="s">
        <v>40</v>
      </c>
      <c r="C32" s="10" t="s">
        <v>41</v>
      </c>
    </row>
    <row r="33" spans="1:3">
      <c r="A33" s="6"/>
      <c r="B33" s="10" t="s">
        <v>42</v>
      </c>
      <c r="C33" s="10" t="s">
        <v>43</v>
      </c>
    </row>
    <row r="34" spans="1:3">
      <c r="A34" s="6"/>
      <c r="B34" s="10" t="s">
        <v>44</v>
      </c>
      <c r="C34" s="10" t="s">
        <v>45</v>
      </c>
    </row>
    <row r="35" spans="1:3">
      <c r="A35" s="6"/>
      <c r="B35" s="10" t="s">
        <v>46</v>
      </c>
      <c r="C35" s="10" t="s">
        <v>47</v>
      </c>
    </row>
    <row r="36" spans="1:3">
      <c r="A36" s="6"/>
    </row>
    <row r="37" spans="1:3">
      <c r="B37" s="76"/>
      <c r="C37" s="76"/>
    </row>
  </sheetData>
  <pageMargins left="0.75" right="0.75" top="1" bottom="1" header="0.511811023622047" footer="0.511811023622047"/>
  <pageSetup paperSize="9" scale="90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A5A5A5"/>
    <pageSetUpPr fitToPage="1"/>
  </sheetPr>
  <dimension ref="A1:AD189"/>
  <sheetViews>
    <sheetView showGridLines="0" tabSelected="1" view="pageBreakPreview" zoomScale="60" zoomScaleNormal="40" workbookViewId="0">
      <selection activeCell="C99" sqref="C99"/>
    </sheetView>
  </sheetViews>
  <sheetFormatPr defaultColWidth="8.58203125" defaultRowHeight="14"/>
  <cols>
    <col min="1" max="1" width="2" customWidth="1"/>
    <col min="2" max="2" width="34" customWidth="1"/>
    <col min="3" max="10" width="13" customWidth="1"/>
    <col min="12" max="12" width="44" customWidth="1"/>
  </cols>
  <sheetData>
    <row r="1" spans="1:30" ht="14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21.75" customHeight="1">
      <c r="A2" s="2"/>
      <c r="B2" s="11" t="s">
        <v>48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5.75" customHeight="1">
      <c r="A3" s="2"/>
      <c r="B3" s="12" t="s">
        <v>49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ht="15" thickBot="1">
      <c r="A5" s="13"/>
      <c r="B5" s="14" t="s">
        <v>50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1:30" ht="18" customHeight="1">
      <c r="A6" s="13"/>
      <c r="B6" s="164" t="s">
        <v>51</v>
      </c>
      <c r="C6" s="164"/>
      <c r="D6" s="164" t="s">
        <v>52</v>
      </c>
      <c r="E6" s="164"/>
      <c r="F6" s="164" t="s">
        <v>53</v>
      </c>
      <c r="G6" s="164"/>
      <c r="H6" s="164" t="s">
        <v>54</v>
      </c>
      <c r="I6" s="164"/>
      <c r="J6" s="164"/>
      <c r="K6" s="164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ht="25.5" customHeight="1">
      <c r="A7" s="13"/>
      <c r="B7" s="165">
        <f>Income_Statement!J7</f>
        <v>1302654.7559462374</v>
      </c>
      <c r="C7" s="165"/>
      <c r="D7" s="165">
        <f>Income_Statement!J21</f>
        <v>666712.74945142108</v>
      </c>
      <c r="E7" s="165"/>
      <c r="F7" s="166">
        <f>(Income_Statement!J7/Income_Statement!E7)^(1/5)-1</f>
        <v>0.43251787875379599</v>
      </c>
      <c r="G7" s="166"/>
      <c r="H7" s="167">
        <f>Valuation!C28</f>
        <v>222.2752183998943</v>
      </c>
      <c r="I7" s="167"/>
      <c r="J7" s="159"/>
      <c r="K7" s="159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ht="7.5" customHeight="1">
      <c r="A8" s="13"/>
      <c r="B8" s="165"/>
      <c r="C8" s="165"/>
      <c r="D8" s="165"/>
      <c r="E8" s="165"/>
      <c r="F8" s="166"/>
      <c r="G8" s="166"/>
      <c r="H8" s="167"/>
      <c r="I8" s="167"/>
      <c r="J8" s="166"/>
      <c r="K8" s="166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</row>
    <row r="9" spans="1:30" ht="13.5" customHeight="1" thickBot="1">
      <c r="A9" s="13"/>
      <c r="B9" s="168" t="s">
        <v>416</v>
      </c>
      <c r="C9" s="169"/>
      <c r="D9" s="168" t="s">
        <v>416</v>
      </c>
      <c r="E9" s="169"/>
      <c r="F9" s="168" t="s">
        <v>438</v>
      </c>
      <c r="G9" s="169"/>
      <c r="H9" s="169" t="s">
        <v>55</v>
      </c>
      <c r="I9" s="169"/>
      <c r="J9" s="170"/>
      <c r="K9" s="170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ht="18" customHeight="1">
      <c r="A10" s="13"/>
      <c r="B10" s="164" t="s">
        <v>56</v>
      </c>
      <c r="C10" s="164"/>
      <c r="D10" s="164" t="s">
        <v>57</v>
      </c>
      <c r="E10" s="164"/>
      <c r="F10" s="164" t="s">
        <v>58</v>
      </c>
      <c r="G10" s="164"/>
      <c r="H10" s="164" t="s">
        <v>59</v>
      </c>
      <c r="I10" s="164"/>
      <c r="J10" s="164" t="s">
        <v>60</v>
      </c>
      <c r="K10" s="164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ht="25.5" customHeight="1">
      <c r="A11" s="13"/>
      <c r="B11" s="166">
        <f>Income_Statement!J8</f>
        <v>0.70000000000000018</v>
      </c>
      <c r="C11" s="166"/>
      <c r="D11" s="166">
        <f>Income_Statement!J26</f>
        <v>0.5900000000000003</v>
      </c>
      <c r="E11" s="166"/>
      <c r="F11" s="167">
        <f>Income_Statement!J25</f>
        <v>28.043569033271286</v>
      </c>
      <c r="G11" s="167"/>
      <c r="H11" s="165">
        <f>Valuation!H14</f>
        <v>583800.24639115331</v>
      </c>
      <c r="I11" s="165"/>
      <c r="J11" s="165">
        <f>Valuation!C24</f>
        <v>5394766.7038550088</v>
      </c>
      <c r="K11" s="165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</row>
    <row r="12" spans="1:30" ht="7.5" customHeight="1">
      <c r="A12" s="13"/>
      <c r="B12" s="166"/>
      <c r="C12" s="166"/>
      <c r="D12" s="166"/>
      <c r="E12" s="166"/>
      <c r="F12" s="167"/>
      <c r="G12" s="167"/>
      <c r="H12" s="165"/>
      <c r="I12" s="165"/>
      <c r="J12" s="165"/>
      <c r="K12" s="165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ht="13.5" customHeight="1">
      <c r="A13" s="13"/>
      <c r="B13" s="168" t="s">
        <v>416</v>
      </c>
      <c r="C13" s="169"/>
      <c r="D13" s="168" t="s">
        <v>416</v>
      </c>
      <c r="E13" s="169"/>
      <c r="F13" s="168" t="s">
        <v>416</v>
      </c>
      <c r="G13" s="169"/>
      <c r="H13" s="168" t="s">
        <v>417</v>
      </c>
      <c r="I13" s="169"/>
      <c r="J13" s="169" t="s">
        <v>61</v>
      </c>
      <c r="K13" s="169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ht="14.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</row>
    <row r="15" spans="1:30" ht="14.5">
      <c r="A15" s="13"/>
      <c r="B15" s="14" t="s">
        <v>62</v>
      </c>
      <c r="C15" s="15"/>
      <c r="D15" s="15"/>
      <c r="E15" s="15"/>
      <c r="F15" s="15"/>
      <c r="G15" s="15"/>
      <c r="H15" s="15"/>
      <c r="I15" s="15"/>
      <c r="J15" s="15" t="s">
        <v>435</v>
      </c>
      <c r="K15" s="15"/>
      <c r="L15" s="15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ht="14.5">
      <c r="A16" s="13"/>
      <c r="B16" s="16" t="s">
        <v>63</v>
      </c>
      <c r="C16" s="17" t="s">
        <v>64</v>
      </c>
      <c r="D16" s="17" t="s">
        <v>65</v>
      </c>
      <c r="E16" s="108" t="s">
        <v>347</v>
      </c>
      <c r="F16" s="17" t="s">
        <v>66</v>
      </c>
      <c r="G16" s="17" t="s">
        <v>67</v>
      </c>
      <c r="H16" s="17" t="s">
        <v>68</v>
      </c>
      <c r="I16" s="17" t="s">
        <v>69</v>
      </c>
      <c r="J16" s="108" t="s">
        <v>349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ht="14.5">
      <c r="A17" s="13"/>
      <c r="B17" s="18" t="s">
        <v>70</v>
      </c>
      <c r="C17" s="19">
        <f>Income_Statement!C7</f>
        <v>60922</v>
      </c>
      <c r="D17" s="19">
        <f>Income_Statement!D7</f>
        <v>130497</v>
      </c>
      <c r="E17" s="19">
        <f>Income_Statement!E7</f>
        <v>215938</v>
      </c>
      <c r="F17" s="19">
        <f>Income_Statement!F7</f>
        <v>405013.75</v>
      </c>
      <c r="G17" s="19">
        <f>Income_Statement!G7</f>
        <v>642682.67987500003</v>
      </c>
      <c r="H17" s="19">
        <f>Income_Statement!H7</f>
        <v>891495.90960114053</v>
      </c>
      <c r="I17" s="19">
        <f>Income_Statement!I7</f>
        <v>1117600.9305851224</v>
      </c>
      <c r="J17" s="19">
        <f>Income_Statement!J7</f>
        <v>1302654.7559462374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</row>
    <row r="18" spans="1:30" ht="14.5">
      <c r="A18" s="13"/>
      <c r="B18" s="20" t="s">
        <v>71</v>
      </c>
      <c r="C18" s="21">
        <f>Revenue_Build!C26</f>
        <v>0</v>
      </c>
      <c r="D18" s="21">
        <f>Revenue_Build!D26</f>
        <v>1.1420340763599355</v>
      </c>
      <c r="E18" s="21">
        <f>Revenue_Build!E26</f>
        <v>0.65473535790094783</v>
      </c>
      <c r="F18" s="21">
        <f>Revenue_Build!F26</f>
        <v>0.87560202465522519</v>
      </c>
      <c r="G18" s="21">
        <f>Revenue_Build!G26</f>
        <v>0.58681694109150628</v>
      </c>
      <c r="H18" s="21">
        <f>Revenue_Build!H26</f>
        <v>0.38714786864107498</v>
      </c>
      <c r="I18" s="21">
        <f>Revenue_Build!I26</f>
        <v>0.25362429434493117</v>
      </c>
      <c r="J18" s="21">
        <f>Revenue_Build!J26</f>
        <v>0.16558130929993919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</row>
    <row r="19" spans="1:30" ht="14.5">
      <c r="A19" s="13"/>
      <c r="B19" s="18" t="s">
        <v>72</v>
      </c>
      <c r="C19" s="19">
        <f>Income_Statement!C10</f>
        <v>44301</v>
      </c>
      <c r="D19" s="19">
        <f>Income_Statement!D10</f>
        <v>97858</v>
      </c>
      <c r="E19" s="19">
        <f>Income_Statement!E10</f>
        <v>153463</v>
      </c>
      <c r="F19" s="19">
        <f>Income_Statement!F10</f>
        <v>303760.3125</v>
      </c>
      <c r="G19" s="19">
        <f>Income_Statement!G10</f>
        <v>473978.47640781256</v>
      </c>
      <c r="H19" s="19">
        <f>Income_Statement!H10</f>
        <v>646334.53446082701</v>
      </c>
      <c r="I19" s="19">
        <f>Income_Statement!I10</f>
        <v>796290.66304189991</v>
      </c>
      <c r="J19" s="19">
        <f>Income_Statement!J10</f>
        <v>911858.32916236646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</row>
    <row r="20" spans="1:30" ht="14.5">
      <c r="A20" s="13"/>
      <c r="B20" s="20" t="s">
        <v>73</v>
      </c>
      <c r="C20" s="21">
        <f>Income_Statement!C8</f>
        <v>0.72717573290436954</v>
      </c>
      <c r="D20" s="21">
        <f>Income_Statement!D8</f>
        <v>0.74988697058169917</v>
      </c>
      <c r="E20" s="21">
        <f>Income_Statement!E8</f>
        <v>0.71068084357547079</v>
      </c>
      <c r="F20" s="21">
        <f>Income_Statement!F8</f>
        <v>0.75</v>
      </c>
      <c r="G20" s="21">
        <f>Income_Statement!G8</f>
        <v>0.73750000000000004</v>
      </c>
      <c r="H20" s="21">
        <f>Income_Statement!H8</f>
        <v>0.72500000000000009</v>
      </c>
      <c r="I20" s="21">
        <f>Income_Statement!I8</f>
        <v>0.71250000000000013</v>
      </c>
      <c r="J20" s="21">
        <f>Income_Statement!J8</f>
        <v>0.70000000000000018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</row>
    <row r="21" spans="1:30" ht="14.5">
      <c r="A21" s="13"/>
      <c r="B21" s="18" t="s">
        <v>74</v>
      </c>
      <c r="C21" s="19">
        <f>Income_Statement!C14</f>
        <v>32972</v>
      </c>
      <c r="D21" s="19">
        <f>Income_Statement!D14</f>
        <v>81453</v>
      </c>
      <c r="E21" s="19">
        <f>Income_Statement!E14</f>
        <v>130387</v>
      </c>
      <c r="F21" s="19">
        <f>Income_Statement!F14</f>
        <v>259208.80000000002</v>
      </c>
      <c r="G21" s="19">
        <f>Income_Statement!G14</f>
        <v>403283.38162156258</v>
      </c>
      <c r="H21" s="19">
        <f>Income_Statement!H14</f>
        <v>548269.98440470151</v>
      </c>
      <c r="I21" s="19">
        <f>Income_Statement!I14</f>
        <v>673354.56067753641</v>
      </c>
      <c r="J21" s="19">
        <f>Income_Statement!J14</f>
        <v>768566.30600828037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ht="14.5">
      <c r="A22" s="13"/>
      <c r="B22" s="20" t="s">
        <v>75</v>
      </c>
      <c r="C22" s="21">
        <f>Income_Statement!C26</f>
        <v>0.54121663766783756</v>
      </c>
      <c r="D22" s="21">
        <f>Income_Statement!D26</f>
        <v>0.62417526839697468</v>
      </c>
      <c r="E22" s="21">
        <f>Income_Statement!E26</f>
        <v>0.60381683631412719</v>
      </c>
      <c r="F22" s="21">
        <f>Income_Statement!F26</f>
        <v>0.64</v>
      </c>
      <c r="G22" s="21">
        <f>Income_Statement!G26</f>
        <v>0.62750000000000006</v>
      </c>
      <c r="H22" s="21">
        <f>Income_Statement!H26</f>
        <v>0.6150000000000001</v>
      </c>
      <c r="I22" s="21">
        <f>Income_Statement!I26</f>
        <v>0.60250000000000015</v>
      </c>
      <c r="J22" s="21">
        <f>Income_Statement!J26</f>
        <v>0.5900000000000003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ht="14.5">
      <c r="A23" s="13"/>
      <c r="B23" s="18" t="s">
        <v>52</v>
      </c>
      <c r="C23" s="19">
        <f>Income_Statement!C21</f>
        <v>29760</v>
      </c>
      <c r="D23" s="19">
        <f>Income_Statement!D21</f>
        <v>72880</v>
      </c>
      <c r="E23" s="19">
        <f>Income_Statement!E21</f>
        <v>120067</v>
      </c>
      <c r="F23" s="19">
        <f>Income_Statement!F21</f>
        <v>217363.42246000003</v>
      </c>
      <c r="G23" s="19">
        <f>Income_Statement!G21</f>
        <v>338687.17574150476</v>
      </c>
      <c r="H23" s="19">
        <f>Income_Statement!H21</f>
        <v>461662.03615972551</v>
      </c>
      <c r="I23" s="19">
        <f>Income_Statement!I21</f>
        <v>574804.90417170618</v>
      </c>
      <c r="J23" s="19">
        <f>Income_Statement!J21</f>
        <v>666712.74945142108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</row>
    <row r="24" spans="1:30" ht="14.5">
      <c r="A24" s="13"/>
      <c r="B24" s="18" t="s">
        <v>76</v>
      </c>
      <c r="C24" s="22">
        <f>Income_Statement!C25</f>
        <v>1.1932638331996792</v>
      </c>
      <c r="D24" s="22">
        <f>Income_Statement!D25</f>
        <v>2.9382357684244478</v>
      </c>
      <c r="E24" s="22">
        <f>Income_Statement!E25</f>
        <v>4.8978950803622423</v>
      </c>
      <c r="F24" s="22">
        <f>Income_Statement!F25</f>
        <v>8.980856385190819</v>
      </c>
      <c r="G24" s="22">
        <f>Income_Statement!G25</f>
        <v>14.199709632483309</v>
      </c>
      <c r="H24" s="22">
        <f>Income_Statement!H25</f>
        <v>19.390747149068396</v>
      </c>
      <c r="I24" s="22">
        <f>Income_Statement!I25</f>
        <v>24.166161436908993</v>
      </c>
      <c r="J24" s="22">
        <f>Income_Statement!J25</f>
        <v>28.043569033271286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ht="14.5">
      <c r="A25" s="13"/>
      <c r="B25" s="18" t="s">
        <v>77</v>
      </c>
      <c r="C25" s="19">
        <f>Valuation!C14</f>
        <v>0</v>
      </c>
      <c r="D25" s="19"/>
      <c r="E25" s="19"/>
      <c r="F25" s="19">
        <f>Valuation!D14</f>
        <v>171336.17070119863</v>
      </c>
      <c r="G25" s="19">
        <f>Valuation!E14</f>
        <v>273293.39034083998</v>
      </c>
      <c r="H25" s="19">
        <f>Valuation!F14</f>
        <v>388246.51111426955</v>
      </c>
      <c r="I25" s="19">
        <f>Valuation!G14</f>
        <v>495629.13309336337</v>
      </c>
      <c r="J25" s="19">
        <f>Valuation!H14</f>
        <v>583800.24639115331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ht="14.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</row>
    <row r="27" spans="1:30" ht="14.5">
      <c r="A27" s="13"/>
      <c r="B27" s="20" t="s">
        <v>78</v>
      </c>
      <c r="C27" s="21">
        <f t="shared" ref="C27:J27" si="0">IFERROR(C23/C17,0)</f>
        <v>0.4884934834706674</v>
      </c>
      <c r="D27" s="21">
        <f t="shared" si="0"/>
        <v>0.55848027157712443</v>
      </c>
      <c r="E27" s="21">
        <f t="shared" si="0"/>
        <v>0.55602534060702613</v>
      </c>
      <c r="F27" s="21">
        <f t="shared" si="0"/>
        <v>0.53668158787201681</v>
      </c>
      <c r="G27" s="21">
        <f t="shared" si="0"/>
        <v>0.526989735910385</v>
      </c>
      <c r="H27" s="21">
        <f t="shared" si="0"/>
        <v>0.51785098640135685</v>
      </c>
      <c r="I27" s="21">
        <f t="shared" si="0"/>
        <v>0.51432035214105076</v>
      </c>
      <c r="J27" s="21">
        <f t="shared" si="0"/>
        <v>0.51181078210329534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  <row r="28" spans="1:30" ht="14.5">
      <c r="A28" s="13"/>
      <c r="B28" s="14" t="s">
        <v>79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</row>
    <row r="29" spans="1:30" ht="14.5">
      <c r="A29" s="13"/>
      <c r="B29" s="18" t="s">
        <v>60</v>
      </c>
      <c r="C29" s="19">
        <f>Valuation!C24</f>
        <v>5394766.7038550088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</row>
    <row r="30" spans="1:30" ht="14.5">
      <c r="A30" s="13"/>
      <c r="B30" s="112" t="s">
        <v>371</v>
      </c>
      <c r="C30" s="23">
        <f>Valuation!C25</f>
        <v>54088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</row>
    <row r="31" spans="1:30" ht="14.5">
      <c r="A31" s="13"/>
      <c r="B31" s="18" t="s">
        <v>80</v>
      </c>
      <c r="C31" s="19">
        <f>Valuation!C26</f>
        <v>5448854.7038550088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</row>
    <row r="32" spans="1:30" ht="14.5">
      <c r="A32" s="13"/>
      <c r="B32" s="20" t="s">
        <v>81</v>
      </c>
      <c r="C32" s="24">
        <f>Valuation!C27</f>
        <v>24514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</row>
    <row r="33" spans="1:30" ht="14.5">
      <c r="A33" s="13"/>
      <c r="B33" s="18" t="s">
        <v>82</v>
      </c>
      <c r="C33" s="22">
        <f>Valuation!C28</f>
        <v>222.2752183998943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</row>
    <row r="34" spans="1:30" ht="14.5">
      <c r="A34" s="13"/>
      <c r="B34" s="18"/>
      <c r="C34" s="2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</row>
    <row r="35" spans="1:30" ht="14.5">
      <c r="A35" s="13"/>
      <c r="B35" s="18"/>
      <c r="C35" s="22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</row>
    <row r="36" spans="1:30" ht="14.5">
      <c r="A36" s="13"/>
      <c r="B36" s="18"/>
      <c r="C36" s="22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</row>
    <row r="37" spans="1:30" ht="14.5">
      <c r="A37" s="13"/>
      <c r="B37" s="18"/>
      <c r="C37" s="22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</row>
    <row r="38" spans="1:30" ht="14.5">
      <c r="A38" s="13"/>
      <c r="B38" s="18"/>
      <c r="C38" s="2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</row>
    <row r="39" spans="1:30" ht="14.5">
      <c r="A39" s="13"/>
      <c r="B39" s="18"/>
      <c r="C39" s="2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</row>
    <row r="40" spans="1:30" ht="14.5">
      <c r="A40" s="13"/>
      <c r="B40" s="160" t="s">
        <v>62</v>
      </c>
      <c r="C40" s="161"/>
      <c r="D40" s="161"/>
      <c r="E40" s="161"/>
      <c r="F40" s="161"/>
      <c r="G40" s="161"/>
      <c r="H40" s="161"/>
      <c r="I40" s="161"/>
      <c r="J40" s="161" t="s">
        <v>436</v>
      </c>
      <c r="K40" s="161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</row>
    <row r="41" spans="1:30" ht="14.5">
      <c r="A41" s="13"/>
      <c r="B41" s="16" t="s">
        <v>63</v>
      </c>
      <c r="C41" s="17" t="s">
        <v>64</v>
      </c>
      <c r="D41" s="17" t="s">
        <v>65</v>
      </c>
      <c r="E41" s="108" t="s">
        <v>347</v>
      </c>
      <c r="F41" s="17" t="s">
        <v>66</v>
      </c>
      <c r="G41" s="17" t="s">
        <v>67</v>
      </c>
      <c r="H41" s="17" t="s">
        <v>68</v>
      </c>
      <c r="I41" s="17" t="s">
        <v>69</v>
      </c>
      <c r="J41" s="108" t="s">
        <v>349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</row>
    <row r="42" spans="1:30" ht="14.5">
      <c r="A42" s="13"/>
      <c r="B42" s="18" t="s">
        <v>70</v>
      </c>
      <c r="C42" s="19">
        <v>60922</v>
      </c>
      <c r="D42" s="19">
        <v>130497</v>
      </c>
      <c r="E42" s="19">
        <v>215938</v>
      </c>
      <c r="F42" s="19">
        <v>375953.19999999995</v>
      </c>
      <c r="G42" s="19">
        <v>547389.99700000009</v>
      </c>
      <c r="H42" s="19">
        <v>699006.07450599992</v>
      </c>
      <c r="I42" s="19">
        <v>815915.7015538984</v>
      </c>
      <c r="J42" s="19">
        <v>898079.69186215161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</row>
    <row r="43" spans="1:30" ht="14.5">
      <c r="A43" s="13"/>
      <c r="B43" s="20" t="s">
        <v>71</v>
      </c>
      <c r="C43" s="21">
        <v>0</v>
      </c>
      <c r="D43" s="21">
        <v>1.1420340763599355</v>
      </c>
      <c r="E43" s="21">
        <v>0.65473535790094783</v>
      </c>
      <c r="F43" s="21">
        <v>0.74102381239059345</v>
      </c>
      <c r="G43" s="21">
        <v>0.45600568634606686</v>
      </c>
      <c r="H43" s="21">
        <v>0.27697999294276432</v>
      </c>
      <c r="I43" s="21">
        <v>0.16725123187308588</v>
      </c>
      <c r="J43" s="21">
        <v>0.10070156776217587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</row>
    <row r="44" spans="1:30" ht="14.5">
      <c r="A44" s="13"/>
      <c r="B44" s="18" t="s">
        <v>72</v>
      </c>
      <c r="C44" s="19">
        <v>44301</v>
      </c>
      <c r="D44" s="19">
        <v>97858</v>
      </c>
      <c r="E44" s="19">
        <v>153463</v>
      </c>
      <c r="F44" s="19">
        <v>281964.89999999997</v>
      </c>
      <c r="G44" s="19">
        <v>400278.93530625</v>
      </c>
      <c r="H44" s="19">
        <v>498041.82808552484</v>
      </c>
      <c r="I44" s="19">
        <v>566041.51795301691</v>
      </c>
      <c r="J44" s="19">
        <v>606203.79200695222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</row>
    <row r="45" spans="1:30" ht="14.5">
      <c r="A45" s="13"/>
      <c r="B45" s="20" t="s">
        <v>73</v>
      </c>
      <c r="C45" s="21">
        <v>0.72717573290436954</v>
      </c>
      <c r="D45" s="21">
        <v>0.74988697058169917</v>
      </c>
      <c r="E45" s="21">
        <v>0.71068084357547079</v>
      </c>
      <c r="F45" s="21">
        <v>0.75</v>
      </c>
      <c r="G45" s="21">
        <v>0.73124999999999996</v>
      </c>
      <c r="H45" s="21">
        <v>0.71249999999999991</v>
      </c>
      <c r="I45" s="21">
        <v>0.69374999999999987</v>
      </c>
      <c r="J45" s="21">
        <v>0.67499999999999982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</row>
    <row r="46" spans="1:30" ht="14.5">
      <c r="A46" s="13"/>
      <c r="B46" s="18" t="s">
        <v>74</v>
      </c>
      <c r="C46" s="19">
        <v>32972</v>
      </c>
      <c r="D46" s="19">
        <v>81453</v>
      </c>
      <c r="E46" s="19">
        <v>130387</v>
      </c>
      <c r="F46" s="19">
        <v>240610.04799999995</v>
      </c>
      <c r="G46" s="19">
        <v>340066.03563624999</v>
      </c>
      <c r="H46" s="19">
        <v>421151.15988986485</v>
      </c>
      <c r="I46" s="19">
        <v>476290.79078208812</v>
      </c>
      <c r="J46" s="19">
        <v>507415.02590211551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</row>
    <row r="47" spans="1:30" ht="14.5">
      <c r="A47" s="13"/>
      <c r="B47" s="20" t="s">
        <v>75</v>
      </c>
      <c r="C47" s="21">
        <v>0.54121663766783756</v>
      </c>
      <c r="D47" s="21">
        <v>0.62417526839697468</v>
      </c>
      <c r="E47" s="21">
        <v>0.60381683631412719</v>
      </c>
      <c r="F47" s="21">
        <v>0.6399999999999999</v>
      </c>
      <c r="G47" s="21">
        <v>0.62124999999999986</v>
      </c>
      <c r="H47" s="21">
        <v>0.60249999999999981</v>
      </c>
      <c r="I47" s="21">
        <v>0.58374999999999988</v>
      </c>
      <c r="J47" s="21">
        <v>0.56499999999999984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</row>
    <row r="48" spans="1:30" ht="14.5">
      <c r="A48" s="13"/>
      <c r="B48" s="18" t="s">
        <v>52</v>
      </c>
      <c r="C48" s="19">
        <v>29760</v>
      </c>
      <c r="D48" s="19">
        <v>72880</v>
      </c>
      <c r="E48" s="19">
        <v>120067</v>
      </c>
      <c r="F48" s="19">
        <v>201833.46453999996</v>
      </c>
      <c r="G48" s="19">
        <v>285677.44869866874</v>
      </c>
      <c r="H48" s="19">
        <v>354785.77929999115</v>
      </c>
      <c r="I48" s="19">
        <v>406725.19253457239</v>
      </c>
      <c r="J48" s="19">
        <v>440352.24249935342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</row>
    <row r="49" spans="1:30" ht="14.5">
      <c r="A49" s="13"/>
      <c r="B49" s="18" t="s">
        <v>76</v>
      </c>
      <c r="C49" s="22">
        <v>1.1932638331996792</v>
      </c>
      <c r="D49" s="22">
        <v>2.9382357684244478</v>
      </c>
      <c r="E49" s="22">
        <v>4.8978950803622423</v>
      </c>
      <c r="F49" s="22">
        <v>8.3463405270580608</v>
      </c>
      <c r="G49" s="22">
        <v>11.988434750201034</v>
      </c>
      <c r="H49" s="22">
        <v>14.935148491645615</v>
      </c>
      <c r="I49" s="22">
        <v>17.162648008553845</v>
      </c>
      <c r="J49" s="22">
        <v>18.619038076388282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</row>
    <row r="50" spans="1:30" ht="14.5">
      <c r="A50" s="13"/>
      <c r="B50" s="18" t="s">
        <v>77</v>
      </c>
      <c r="C50" s="19">
        <v>0</v>
      </c>
      <c r="D50" s="19"/>
      <c r="E50" s="19"/>
      <c r="F50" s="19">
        <v>156525.46139369858</v>
      </c>
      <c r="G50" s="19">
        <v>222613.66332988514</v>
      </c>
      <c r="H50" s="19">
        <v>285877.31413823727</v>
      </c>
      <c r="I50" s="19">
        <v>336237.23520158872</v>
      </c>
      <c r="J50" s="19">
        <v>371637.07840116508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</row>
    <row r="51" spans="1:30" ht="14.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</row>
    <row r="52" spans="1:30" ht="14.5">
      <c r="A52" s="13"/>
      <c r="B52" s="20" t="s">
        <v>78</v>
      </c>
      <c r="C52" s="21">
        <v>0.4884934834706674</v>
      </c>
      <c r="D52" s="21">
        <v>0.55848027157712443</v>
      </c>
      <c r="E52" s="21">
        <v>0.55602534060702613</v>
      </c>
      <c r="F52" s="21">
        <v>0.53685795077685194</v>
      </c>
      <c r="G52" s="21">
        <v>0.5218901519288609</v>
      </c>
      <c r="H52" s="21">
        <v>0.50755750520583753</v>
      </c>
      <c r="I52" s="21">
        <v>0.49848923333620221</v>
      </c>
      <c r="J52" s="21">
        <v>0.49032646711595407</v>
      </c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</row>
    <row r="53" spans="1:30" ht="14.5">
      <c r="A53" s="13"/>
      <c r="B53" s="160" t="s">
        <v>79</v>
      </c>
      <c r="C53" s="160"/>
      <c r="D53" s="160"/>
      <c r="E53" s="160"/>
      <c r="F53" s="160"/>
      <c r="G53" s="160"/>
      <c r="H53" s="160"/>
      <c r="I53" s="160"/>
      <c r="J53" s="160"/>
      <c r="K53" s="160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</row>
    <row r="54" spans="1:30" ht="14.5">
      <c r="A54" s="13"/>
      <c r="B54" s="18" t="s">
        <v>60</v>
      </c>
      <c r="C54" s="19">
        <v>3557171.8259068034</v>
      </c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</row>
    <row r="55" spans="1:30" ht="14.5">
      <c r="A55" s="13"/>
      <c r="B55" s="112" t="s">
        <v>371</v>
      </c>
      <c r="C55" s="23">
        <v>54088</v>
      </c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</row>
    <row r="56" spans="1:30" ht="14.5">
      <c r="A56" s="13"/>
      <c r="B56" s="18" t="s">
        <v>80</v>
      </c>
      <c r="C56" s="19">
        <v>3611259.8259068034</v>
      </c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</row>
    <row r="57" spans="1:30" ht="14.5">
      <c r="A57" s="13"/>
      <c r="B57" s="20" t="s">
        <v>81</v>
      </c>
      <c r="C57" s="24">
        <v>24514</v>
      </c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</row>
    <row r="58" spans="1:30" ht="14.5">
      <c r="A58" s="13"/>
      <c r="B58" s="18" t="s">
        <v>82</v>
      </c>
      <c r="C58" s="22">
        <v>147.31418070926014</v>
      </c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</row>
    <row r="59" spans="1:30" ht="14.5">
      <c r="A59" s="13"/>
      <c r="B59" s="18"/>
      <c r="C59" s="22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</row>
    <row r="60" spans="1:30" ht="14.5">
      <c r="A60" s="13"/>
      <c r="B60" s="18"/>
      <c r="C60" s="22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</row>
    <row r="61" spans="1:30" ht="14.5">
      <c r="A61" s="13"/>
      <c r="B61" s="18"/>
      <c r="C61" s="22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</row>
    <row r="62" spans="1:30" ht="14.5">
      <c r="A62" s="13"/>
      <c r="B62" s="18"/>
      <c r="C62" s="22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</row>
    <row r="63" spans="1:30" ht="14.5">
      <c r="A63" s="13"/>
      <c r="B63" s="18"/>
      <c r="C63" s="22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</row>
    <row r="64" spans="1:30" ht="14.5">
      <c r="A64" s="13"/>
      <c r="B64" s="18"/>
      <c r="C64" s="22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</row>
    <row r="65" spans="1:30" ht="14.5">
      <c r="A65" s="13"/>
      <c r="B65" s="18"/>
      <c r="C65" s="22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</row>
    <row r="66" spans="1:30" ht="14.5">
      <c r="A66" s="13"/>
      <c r="B66" s="18"/>
      <c r="C66" s="22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</row>
    <row r="67" spans="1:30" ht="14.5">
      <c r="A67" s="13"/>
      <c r="B67" s="18"/>
      <c r="C67" s="22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</row>
    <row r="68" spans="1:30" ht="14.5">
      <c r="A68" s="13"/>
      <c r="B68" s="18"/>
      <c r="C68" s="22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</row>
    <row r="69" spans="1:30" ht="14.5">
      <c r="A69" s="13"/>
      <c r="B69" s="18"/>
      <c r="C69" s="22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</row>
    <row r="70" spans="1:30" ht="14.5">
      <c r="A70" s="13"/>
      <c r="B70" s="18"/>
      <c r="C70" s="22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</row>
    <row r="71" spans="1:30" ht="14.5">
      <c r="A71" s="13"/>
      <c r="B71" s="18"/>
      <c r="C71" s="22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</row>
    <row r="72" spans="1:30" ht="14.5">
      <c r="A72" s="13"/>
      <c r="B72" s="18"/>
      <c r="C72" s="22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</row>
    <row r="73" spans="1:30" ht="14.5">
      <c r="A73" s="13"/>
      <c r="B73" s="18"/>
      <c r="C73" s="22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</row>
    <row r="74" spans="1:30" ht="14.5">
      <c r="A74" s="13"/>
      <c r="B74" s="18"/>
      <c r="C74" s="22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</row>
    <row r="75" spans="1:30" ht="14.5">
      <c r="A75" s="13"/>
      <c r="B75" s="18"/>
      <c r="C75" s="22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</row>
    <row r="76" spans="1:30" ht="14.5">
      <c r="A76" s="13"/>
      <c r="B76" s="162" t="s">
        <v>62</v>
      </c>
      <c r="C76" s="163"/>
      <c r="D76" s="163"/>
      <c r="E76" s="163"/>
      <c r="F76" s="163"/>
      <c r="G76" s="163"/>
      <c r="H76" s="163"/>
      <c r="I76" s="163"/>
      <c r="J76" s="163" t="s">
        <v>437</v>
      </c>
      <c r="K76" s="16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</row>
    <row r="77" spans="1:30" ht="14.5">
      <c r="A77" s="13"/>
      <c r="B77" s="16" t="s">
        <v>63</v>
      </c>
      <c r="C77" s="17" t="s">
        <v>64</v>
      </c>
      <c r="D77" s="17" t="s">
        <v>65</v>
      </c>
      <c r="E77" s="108" t="s">
        <v>347</v>
      </c>
      <c r="F77" s="17" t="s">
        <v>66</v>
      </c>
      <c r="G77" s="17" t="s">
        <v>67</v>
      </c>
      <c r="H77" s="17" t="s">
        <v>68</v>
      </c>
      <c r="I77" s="17" t="s">
        <v>69</v>
      </c>
      <c r="J77" s="108" t="s">
        <v>349</v>
      </c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</row>
    <row r="78" spans="1:30" ht="14.5">
      <c r="A78" s="13"/>
      <c r="B78" s="18" t="s">
        <v>70</v>
      </c>
      <c r="C78" s="19">
        <v>60922</v>
      </c>
      <c r="D78" s="19">
        <v>130497</v>
      </c>
      <c r="E78" s="19">
        <v>215938</v>
      </c>
      <c r="F78" s="19">
        <v>424387.44999999995</v>
      </c>
      <c r="G78" s="19">
        <v>721023.37524999992</v>
      </c>
      <c r="H78" s="19">
        <v>1079724.9590211248</v>
      </c>
      <c r="I78" s="19">
        <v>1459071.1870154017</v>
      </c>
      <c r="J78" s="19">
        <v>1819718.194209751</v>
      </c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</row>
    <row r="79" spans="1:30" ht="14.5">
      <c r="A79" s="13"/>
      <c r="B79" s="20" t="s">
        <v>71</v>
      </c>
      <c r="C79" s="21">
        <v>0</v>
      </c>
      <c r="D79" s="21">
        <v>1.1420340763599355</v>
      </c>
      <c r="E79" s="21">
        <v>0.65473535790094783</v>
      </c>
      <c r="F79" s="21">
        <v>0.96532083283164583</v>
      </c>
      <c r="G79" s="21">
        <v>0.69897431050329129</v>
      </c>
      <c r="H79" s="21">
        <v>0.49748953513019245</v>
      </c>
      <c r="I79" s="21">
        <v>0.35133598128378085</v>
      </c>
      <c r="J79" s="21">
        <v>0.24717574468184078</v>
      </c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</row>
    <row r="80" spans="1:30" ht="14.5">
      <c r="A80" s="13"/>
      <c r="B80" s="18" t="s">
        <v>72</v>
      </c>
      <c r="C80" s="19">
        <v>44301</v>
      </c>
      <c r="D80" s="19">
        <v>97858</v>
      </c>
      <c r="E80" s="19">
        <v>153463</v>
      </c>
      <c r="F80" s="19">
        <v>318290.58749999997</v>
      </c>
      <c r="G80" s="19">
        <v>536261.13534218748</v>
      </c>
      <c r="H80" s="19">
        <v>796297.15727807954</v>
      </c>
      <c r="I80" s="19">
        <v>1066945.8055050126</v>
      </c>
      <c r="J80" s="19">
        <v>1319295.6908020696</v>
      </c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</row>
    <row r="81" spans="1:30" ht="14.5">
      <c r="A81" s="13"/>
      <c r="B81" s="20" t="s">
        <v>73</v>
      </c>
      <c r="C81" s="21">
        <v>0.72717573290436954</v>
      </c>
      <c r="D81" s="21">
        <v>0.74988697058169917</v>
      </c>
      <c r="E81" s="21">
        <v>0.71068084357547079</v>
      </c>
      <c r="F81" s="21">
        <v>0.75</v>
      </c>
      <c r="G81" s="21">
        <v>0.74375000000000002</v>
      </c>
      <c r="H81" s="21">
        <v>0.73750000000000004</v>
      </c>
      <c r="I81" s="21">
        <v>0.73125000000000007</v>
      </c>
      <c r="J81" s="21">
        <v>0.72500000000000009</v>
      </c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</row>
    <row r="82" spans="1:30" ht="14.5">
      <c r="A82" s="13"/>
      <c r="B82" s="18" t="s">
        <v>74</v>
      </c>
      <c r="C82" s="19">
        <v>32972</v>
      </c>
      <c r="D82" s="19">
        <v>81453</v>
      </c>
      <c r="E82" s="19">
        <v>130387</v>
      </c>
      <c r="F82" s="19">
        <v>271607.96799999994</v>
      </c>
      <c r="G82" s="19">
        <v>456948.56406468747</v>
      </c>
      <c r="H82" s="19">
        <v>677527.41178575577</v>
      </c>
      <c r="I82" s="19">
        <v>906447.97493331844</v>
      </c>
      <c r="J82" s="19">
        <v>1119126.6894389971</v>
      </c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</row>
    <row r="83" spans="1:30" ht="14.5">
      <c r="A83" s="13"/>
      <c r="B83" s="20" t="s">
        <v>75</v>
      </c>
      <c r="C83" s="21">
        <v>0.54121663766783756</v>
      </c>
      <c r="D83" s="21">
        <v>0.62417526839697468</v>
      </c>
      <c r="E83" s="21">
        <v>0.60381683631412719</v>
      </c>
      <c r="F83" s="21">
        <v>0.6399999999999999</v>
      </c>
      <c r="G83" s="21">
        <v>0.63375000000000004</v>
      </c>
      <c r="H83" s="21">
        <v>0.62749999999999995</v>
      </c>
      <c r="I83" s="21">
        <v>0.62125000000000008</v>
      </c>
      <c r="J83" s="21">
        <v>0.6150000000000001</v>
      </c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</row>
    <row r="84" spans="1:30" ht="14.5">
      <c r="A84" s="13"/>
      <c r="B84" s="18" t="s">
        <v>52</v>
      </c>
      <c r="C84" s="19">
        <v>29760</v>
      </c>
      <c r="D84" s="19">
        <v>72880</v>
      </c>
      <c r="E84" s="19">
        <v>120067</v>
      </c>
      <c r="F84" s="19">
        <v>227716.72773999991</v>
      </c>
      <c r="G84" s="19">
        <v>383646.43184491404</v>
      </c>
      <c r="H84" s="19">
        <v>570521.57392370154</v>
      </c>
      <c r="I84" s="19">
        <v>773147.74370804289</v>
      </c>
      <c r="J84" s="19">
        <v>968589.19245027832</v>
      </c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</row>
    <row r="85" spans="1:30" ht="14.5">
      <c r="A85" s="13"/>
      <c r="B85" s="18" t="s">
        <v>76</v>
      </c>
      <c r="C85" s="22">
        <v>1.1932638331996792</v>
      </c>
      <c r="D85" s="22">
        <v>2.9382357684244478</v>
      </c>
      <c r="E85" s="22">
        <v>4.8978950803622423</v>
      </c>
      <c r="F85" s="22">
        <v>9.4038734305333058</v>
      </c>
      <c r="G85" s="22">
        <v>16.05735143583124</v>
      </c>
      <c r="H85" s="22">
        <v>23.90269394324487</v>
      </c>
      <c r="I85" s="22">
        <v>32.394329874445425</v>
      </c>
      <c r="J85" s="22">
        <v>40.564967237975843</v>
      </c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</row>
    <row r="86" spans="1:30" ht="14.5">
      <c r="A86" s="13"/>
      <c r="B86" s="18" t="s">
        <v>77</v>
      </c>
      <c r="C86" s="19">
        <v>0</v>
      </c>
      <c r="D86" s="19"/>
      <c r="E86" s="19"/>
      <c r="F86" s="19">
        <v>181209.97690619857</v>
      </c>
      <c r="G86" s="19">
        <v>316332.71014656802</v>
      </c>
      <c r="H86" s="19">
        <v>492305.50631755375</v>
      </c>
      <c r="I86" s="19">
        <v>683953.29229450412</v>
      </c>
      <c r="J86" s="19">
        <v>868071.48819884507</v>
      </c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</row>
    <row r="87" spans="1:30" ht="14.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</row>
    <row r="88" spans="1:30" ht="14.5">
      <c r="A88" s="13"/>
      <c r="B88" s="20" t="s">
        <v>78</v>
      </c>
      <c r="C88" s="21">
        <v>0.4884934834706674</v>
      </c>
      <c r="D88" s="21">
        <v>0.55848027157712443</v>
      </c>
      <c r="E88" s="21">
        <v>0.55602534060702613</v>
      </c>
      <c r="F88" s="21">
        <v>0.53657743116578949</v>
      </c>
      <c r="G88" s="21">
        <v>0.53208598363665061</v>
      </c>
      <c r="H88" s="21">
        <v>0.52839528174002259</v>
      </c>
      <c r="I88" s="21">
        <v>0.52989035119633388</v>
      </c>
      <c r="J88" s="21">
        <v>0.53227428045302783</v>
      </c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</row>
    <row r="89" spans="1:30" ht="14.5">
      <c r="A89" s="13"/>
      <c r="B89" s="162" t="s">
        <v>79</v>
      </c>
      <c r="C89" s="163"/>
      <c r="D89" s="163"/>
      <c r="E89" s="163"/>
      <c r="F89" s="163"/>
      <c r="G89" s="163"/>
      <c r="H89" s="163"/>
      <c r="I89" s="163"/>
      <c r="J89" s="163"/>
      <c r="K89" s="16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</row>
    <row r="90" spans="1:30" ht="14.5">
      <c r="A90" s="13"/>
      <c r="B90" s="18" t="s">
        <v>60</v>
      </c>
      <c r="C90" s="19">
        <v>7787808.2381738704</v>
      </c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</row>
    <row r="91" spans="1:30" ht="14.5">
      <c r="A91" s="13"/>
      <c r="B91" s="112" t="s">
        <v>371</v>
      </c>
      <c r="C91" s="23">
        <v>54088</v>
      </c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</row>
    <row r="92" spans="1:30" ht="14.5">
      <c r="A92" s="13"/>
      <c r="B92" s="18" t="s">
        <v>80</v>
      </c>
      <c r="C92" s="19">
        <v>7841896.2381738704</v>
      </c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</row>
    <row r="93" spans="1:30" ht="14.5">
      <c r="A93" s="13"/>
      <c r="B93" s="20" t="s">
        <v>81</v>
      </c>
      <c r="C93" s="24">
        <v>24514</v>
      </c>
      <c r="D93" s="13"/>
      <c r="E93" s="13"/>
      <c r="F93" s="13"/>
      <c r="G93" s="13"/>
      <c r="H93" s="13"/>
      <c r="I93" s="13"/>
      <c r="J93" s="13"/>
      <c r="K93" s="13"/>
      <c r="L93" s="15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</row>
    <row r="94" spans="1:30" ht="14.5">
      <c r="A94" s="13"/>
      <c r="B94" s="18" t="s">
        <v>82</v>
      </c>
      <c r="C94" s="22">
        <v>319.89460056187772</v>
      </c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</row>
    <row r="95" spans="1:30" ht="14.5">
      <c r="A95" s="13"/>
      <c r="B95" s="18"/>
      <c r="C95" s="22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</row>
    <row r="96" spans="1:30" ht="14.5">
      <c r="A96" s="13"/>
      <c r="B96" s="18"/>
      <c r="C96" s="22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</row>
    <row r="97" spans="1:30" ht="14.5">
      <c r="A97" s="13"/>
      <c r="B97" s="18"/>
      <c r="C97" s="22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</row>
    <row r="98" spans="1:30" ht="14.5">
      <c r="A98" s="13"/>
      <c r="B98" s="18"/>
      <c r="C98" s="22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</row>
    <row r="99" spans="1:30" ht="14.5">
      <c r="A99" s="13"/>
      <c r="B99" s="18"/>
      <c r="C99" s="22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</row>
    <row r="100" spans="1:30" ht="14.5">
      <c r="A100" s="13"/>
      <c r="B100" s="18"/>
      <c r="C100" s="22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</row>
    <row r="101" spans="1:30" ht="14.5">
      <c r="A101" s="13"/>
      <c r="B101" s="18"/>
      <c r="C101" s="22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</row>
    <row r="102" spans="1:30" ht="14.5">
      <c r="A102" s="13"/>
      <c r="B102" s="18"/>
      <c r="C102" s="22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</row>
    <row r="103" spans="1:30" ht="14.5">
      <c r="A103" s="13"/>
      <c r="B103" s="18"/>
      <c r="C103" s="22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</row>
    <row r="104" spans="1:30" ht="14.5">
      <c r="A104" s="13"/>
      <c r="B104" s="18"/>
      <c r="C104" s="22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</row>
    <row r="105" spans="1:30" ht="14.5">
      <c r="A105" s="13"/>
      <c r="B105" s="18"/>
      <c r="C105" s="22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</row>
    <row r="106" spans="1:30" ht="14.5">
      <c r="A106" s="13"/>
      <c r="B106" s="18"/>
      <c r="C106" s="22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</row>
    <row r="107" spans="1:30" ht="14.5">
      <c r="A107" s="13"/>
      <c r="B107" s="18"/>
      <c r="C107" s="22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</row>
    <row r="108" spans="1:30" ht="14.5">
      <c r="A108" s="13"/>
      <c r="B108" s="18"/>
      <c r="C108" s="22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</row>
    <row r="109" spans="1:30" ht="14.5">
      <c r="A109" s="13"/>
      <c r="B109" s="18"/>
      <c r="C109" s="22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</row>
    <row r="110" spans="1:30" ht="14.5">
      <c r="A110" s="13"/>
      <c r="B110" s="18"/>
      <c r="C110" s="22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</row>
    <row r="111" spans="1:30" ht="14.5">
      <c r="A111" s="13"/>
      <c r="B111" s="18"/>
      <c r="C111" s="22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</row>
    <row r="112" spans="1:30" ht="14.5">
      <c r="A112" s="13"/>
      <c r="B112" s="18"/>
      <c r="C112" s="22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</row>
    <row r="113" spans="1:30" ht="14.5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</row>
    <row r="114" spans="1:30" ht="14.5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</row>
    <row r="115" spans="1:30" ht="14.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</row>
    <row r="116" spans="1:30" ht="14.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</row>
    <row r="117" spans="1:30" ht="14.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</row>
    <row r="118" spans="1:30" ht="14.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</row>
    <row r="119" spans="1:30" ht="14.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</row>
    <row r="120" spans="1:30" ht="14.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</row>
    <row r="121" spans="1:30" ht="14.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</row>
    <row r="122" spans="1:30" ht="14.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</row>
    <row r="123" spans="1:30" ht="14.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</row>
    <row r="124" spans="1:30" ht="14.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</row>
    <row r="125" spans="1:30" ht="14.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</row>
    <row r="126" spans="1:30" ht="14.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</row>
    <row r="127" spans="1:30" ht="14.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</row>
    <row r="128" spans="1:30" ht="14.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</row>
    <row r="129" spans="1:30" ht="14.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</row>
    <row r="130" spans="1:30" ht="14.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</row>
    <row r="131" spans="1:30" ht="14.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</row>
    <row r="132" spans="1:30" ht="14.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</row>
    <row r="133" spans="1:30" ht="14.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</row>
    <row r="134" spans="1:30" ht="14.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</row>
    <row r="135" spans="1:30" ht="14.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</row>
    <row r="136" spans="1:30" ht="14.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</row>
    <row r="137" spans="1:30" ht="14.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</row>
    <row r="138" spans="1:30" ht="14.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</row>
    <row r="139" spans="1:30" ht="14.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</row>
    <row r="140" spans="1:30" ht="14.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</row>
    <row r="141" spans="1:30" ht="14.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</row>
    <row r="142" spans="1:30" ht="14.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</row>
    <row r="143" spans="1:30" ht="14.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</row>
    <row r="144" spans="1:30" ht="14.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</row>
    <row r="145" spans="1:30" ht="14.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</row>
    <row r="146" spans="1:30" ht="14.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</row>
    <row r="147" spans="1:30" ht="14.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</row>
    <row r="148" spans="1:30" ht="14.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</row>
    <row r="149" spans="1:30" ht="14.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</row>
    <row r="150" spans="1:30" ht="14.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</row>
    <row r="151" spans="1:30" ht="14.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</row>
    <row r="152" spans="1:30" ht="14.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</row>
    <row r="153" spans="1:30" ht="14.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</row>
    <row r="154" spans="1:30" ht="14.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</row>
    <row r="155" spans="1:30" ht="14.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</row>
    <row r="156" spans="1:30" ht="14.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</row>
    <row r="157" spans="1:30" ht="14.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</row>
    <row r="158" spans="1:30" ht="14.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</row>
    <row r="159" spans="1:30" ht="14.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</row>
    <row r="160" spans="1:30" ht="14.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</row>
    <row r="161" spans="1:30" ht="14.5">
      <c r="A161" s="13"/>
      <c r="B161" s="14" t="s">
        <v>83</v>
      </c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</row>
    <row r="162" spans="1:30" ht="14.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</row>
    <row r="163" spans="1:30" ht="14.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</row>
    <row r="164" spans="1:30" ht="14.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</row>
    <row r="165" spans="1:30" ht="14.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</row>
    <row r="166" spans="1:30" ht="14.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</row>
    <row r="167" spans="1:30" ht="14.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</row>
    <row r="168" spans="1:30" ht="14.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</row>
    <row r="169" spans="1:30" ht="14.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</row>
    <row r="170" spans="1:30" ht="14.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</row>
    <row r="171" spans="1:30" ht="14.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</row>
    <row r="172" spans="1:30" ht="14.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</row>
    <row r="173" spans="1:30" ht="14.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</row>
    <row r="174" spans="1:30" ht="14.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</row>
    <row r="175" spans="1:30" ht="14.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</row>
    <row r="176" spans="1:30" ht="14.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</row>
    <row r="177" spans="1:30" ht="14.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</row>
    <row r="178" spans="1:30" ht="14.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</row>
    <row r="179" spans="1:30" ht="14.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</row>
    <row r="180" spans="1:30" ht="14.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</row>
    <row r="181" spans="1:30" ht="14.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</row>
    <row r="182" spans="1:30" ht="14.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</row>
    <row r="183" spans="1:30" ht="14.5">
      <c r="A183" s="13"/>
      <c r="B183" s="14" t="s">
        <v>425</v>
      </c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</row>
    <row r="184" spans="1:30" ht="14.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</row>
    <row r="185" spans="1:30" ht="14.5">
      <c r="A185" s="13"/>
      <c r="B185" s="25" t="s">
        <v>84</v>
      </c>
      <c r="C185" s="26">
        <f>0</f>
        <v>0</v>
      </c>
      <c r="D185" s="26">
        <f>Valuation!C20</f>
        <v>1311696.9849860724</v>
      </c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</row>
    <row r="186" spans="1:30" ht="14.5">
      <c r="A186" s="13"/>
      <c r="B186" s="25" t="s">
        <v>85</v>
      </c>
      <c r="C186" s="26">
        <f>Valuation!C20</f>
        <v>1311696.9849860724</v>
      </c>
      <c r="D186" s="26">
        <f>Valuation!C23</f>
        <v>4083069.7188689364</v>
      </c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</row>
    <row r="187" spans="1:30" ht="14.5">
      <c r="A187" s="13"/>
      <c r="B187" s="25" t="s">
        <v>60</v>
      </c>
      <c r="C187" s="26">
        <f>0</f>
        <v>0</v>
      </c>
      <c r="D187" s="26">
        <f>Valuation!C24</f>
        <v>5394766.7038550088</v>
      </c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</row>
    <row r="188" spans="1:30" ht="14.5">
      <c r="A188" s="13"/>
      <c r="B188" s="25" t="s">
        <v>86</v>
      </c>
      <c r="C188" s="26">
        <f>MIN(Valuation!C24,Valuation!C26)</f>
        <v>5394766.7038550088</v>
      </c>
      <c r="D188" s="26">
        <f>ABS(Valuation!C26-Valuation!C24)</f>
        <v>54088</v>
      </c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</row>
    <row r="189" spans="1:30" ht="14.5">
      <c r="A189" s="13"/>
      <c r="B189" s="25" t="s">
        <v>80</v>
      </c>
      <c r="C189" s="26">
        <f>0</f>
        <v>0</v>
      </c>
      <c r="D189" s="26">
        <f>Valuation!C26</f>
        <v>5448854.7038550088</v>
      </c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</row>
  </sheetData>
  <mergeCells count="30">
    <mergeCell ref="J6:K6"/>
    <mergeCell ref="J8:K8"/>
    <mergeCell ref="J9:K9"/>
    <mergeCell ref="B13:C13"/>
    <mergeCell ref="D13:E13"/>
    <mergeCell ref="F13:G13"/>
    <mergeCell ref="H13:I13"/>
    <mergeCell ref="J13:K13"/>
    <mergeCell ref="J10:K10"/>
    <mergeCell ref="B11:C12"/>
    <mergeCell ref="D11:E12"/>
    <mergeCell ref="F11:G12"/>
    <mergeCell ref="H11:I12"/>
    <mergeCell ref="J11:K12"/>
    <mergeCell ref="B9:C9"/>
    <mergeCell ref="D9:E9"/>
    <mergeCell ref="F9:G9"/>
    <mergeCell ref="H9:I9"/>
    <mergeCell ref="B10:C10"/>
    <mergeCell ref="D10:E10"/>
    <mergeCell ref="F10:G10"/>
    <mergeCell ref="H10:I10"/>
    <mergeCell ref="B6:C6"/>
    <mergeCell ref="D6:E6"/>
    <mergeCell ref="F6:G6"/>
    <mergeCell ref="H6:I6"/>
    <mergeCell ref="B7:C8"/>
    <mergeCell ref="D7:E8"/>
    <mergeCell ref="F7:G8"/>
    <mergeCell ref="H7:I8"/>
  </mergeCells>
  <pageMargins left="0.74803149606299213" right="0.74803149606299213" top="0.98425196850393704" bottom="0.98425196850393704" header="0.51181102362204722" footer="0.51181102362204722"/>
  <pageSetup paperSize="9" scale="79" fitToHeight="0" orientation="landscape" horizontalDpi="300" verticalDpi="300" r:id="rId1"/>
  <headerFooter>
    <oddHeader>&amp;R&amp;"Arial,Bold"BASE CASE</oddHeader>
    <oddFooter>&amp;R&amp;"Times New Roman,Regular"&amp;10Research by : T Ghiyas Kausara</oddFooter>
  </headerFooter>
  <rowBreaks count="2" manualBreakCount="2">
    <brk id="74" max="10" man="1"/>
    <brk id="145" max="10" man="1"/>
  </rowBreaks>
  <colBreaks count="1" manualBreakCount="1">
    <brk id="11" max="1048575" man="1"/>
  </colBreaks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F5285B1-A7B1-4761-9741-EFD5172B31D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Dashboard!D18:J18</xm:f>
              <xm:sqref>K17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6EA"/>
  </sheetPr>
  <dimension ref="A1:AD66"/>
  <sheetViews>
    <sheetView showGridLines="0" view="pageBreakPreview" zoomScale="60" zoomScaleNormal="85" workbookViewId="0">
      <selection activeCell="E13" sqref="E13"/>
    </sheetView>
  </sheetViews>
  <sheetFormatPr defaultColWidth="8.58203125" defaultRowHeight="14"/>
  <cols>
    <col min="1" max="1" width="2.5" customWidth="1"/>
    <col min="2" max="2" width="34" customWidth="1"/>
    <col min="3" max="3" width="14" customWidth="1"/>
    <col min="4" max="4" width="10" customWidth="1"/>
    <col min="5" max="5" width="40.83203125" customWidth="1"/>
    <col min="6" max="6" width="6.75" bestFit="1" customWidth="1"/>
    <col min="7" max="7" width="24.6640625" bestFit="1" customWidth="1"/>
    <col min="8" max="9" width="14.25" customWidth="1"/>
    <col min="10" max="10" width="12.5" customWidth="1"/>
    <col min="11" max="11" width="19.1640625" style="94" bestFit="1" customWidth="1"/>
    <col min="12" max="16" width="7.33203125" customWidth="1"/>
  </cols>
  <sheetData>
    <row r="1" spans="1:30" ht="14.5">
      <c r="A1" s="1"/>
      <c r="B1" s="1"/>
      <c r="C1" s="1"/>
      <c r="D1" s="1"/>
      <c r="E1" s="28"/>
      <c r="F1" s="1"/>
      <c r="G1" s="1"/>
      <c r="H1" s="119" t="s">
        <v>410</v>
      </c>
      <c r="I1" s="1"/>
      <c r="J1" s="2"/>
      <c r="K1" s="9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21.75" customHeight="1">
      <c r="A2" s="1"/>
      <c r="B2" s="3" t="s">
        <v>16</v>
      </c>
      <c r="C2" s="121" t="s">
        <v>87</v>
      </c>
      <c r="D2" s="27">
        <v>2</v>
      </c>
      <c r="E2" s="1" t="str">
        <f>CHOOSE($D$2,"Bear","Base","Bull")</f>
        <v>Base</v>
      </c>
      <c r="F2" s="1"/>
      <c r="G2" s="1"/>
      <c r="H2" s="119" t="s">
        <v>411</v>
      </c>
      <c r="I2" s="1"/>
      <c r="J2" s="2"/>
      <c r="K2" s="9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5">
      <c r="A3" s="1"/>
      <c r="B3" s="5" t="s">
        <v>88</v>
      </c>
      <c r="C3" s="120" t="s">
        <v>414</v>
      </c>
      <c r="D3" s="1" t="s">
        <v>413</v>
      </c>
      <c r="E3" s="1"/>
      <c r="F3" s="1"/>
      <c r="G3" s="1"/>
      <c r="H3" s="119" t="s">
        <v>412</v>
      </c>
      <c r="I3" s="1"/>
      <c r="J3" s="2"/>
      <c r="K3" s="9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5">
      <c r="A4" s="6"/>
      <c r="B4" s="6"/>
      <c r="C4" s="6"/>
      <c r="D4" s="6"/>
      <c r="E4" s="6"/>
      <c r="F4" s="6"/>
      <c r="G4" s="6"/>
      <c r="H4" s="6"/>
      <c r="I4" s="6"/>
      <c r="J4" s="13"/>
      <c r="K4" s="9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ht="14.5">
      <c r="A5" s="6"/>
      <c r="B5" s="29" t="s">
        <v>89</v>
      </c>
      <c r="C5" s="30" t="s">
        <v>90</v>
      </c>
      <c r="D5" s="30" t="s">
        <v>91</v>
      </c>
      <c r="E5" s="29" t="s">
        <v>92</v>
      </c>
      <c r="F5" s="6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 spans="1:30" ht="14.5">
      <c r="A6" s="6"/>
      <c r="B6" s="6"/>
      <c r="C6" s="6"/>
      <c r="D6" s="6"/>
      <c r="E6" s="6"/>
      <c r="F6" s="6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 spans="1:30" ht="14.5">
      <c r="A7" s="6"/>
      <c r="B7" s="31" t="s">
        <v>96</v>
      </c>
      <c r="C7" s="32">
        <f>C58*C51+C59*C54</f>
        <v>0.11532943688732797</v>
      </c>
      <c r="D7" s="33" t="s">
        <v>97</v>
      </c>
      <c r="E7" s="34" t="s">
        <v>372</v>
      </c>
      <c r="F7" s="6"/>
      <c r="H7" s="87" t="s">
        <v>330</v>
      </c>
      <c r="I7" s="82"/>
      <c r="J7" s="82"/>
      <c r="K7" s="82"/>
      <c r="L7" s="82"/>
      <c r="M7" s="82"/>
      <c r="N7" s="13"/>
      <c r="O7" s="13"/>
      <c r="P7" s="13"/>
      <c r="Q7" s="13"/>
      <c r="R7" s="13"/>
      <c r="S7" s="13"/>
      <c r="T7" s="13"/>
      <c r="U7" s="13"/>
      <c r="V7" s="13"/>
      <c r="W7" s="13"/>
    </row>
    <row r="8" spans="1:30" ht="14.5">
      <c r="A8" s="6"/>
      <c r="B8" s="31" t="s">
        <v>98</v>
      </c>
      <c r="C8" s="32">
        <v>0.03</v>
      </c>
      <c r="D8" s="33" t="s">
        <v>97</v>
      </c>
      <c r="E8" s="34" t="s">
        <v>440</v>
      </c>
      <c r="F8" s="6"/>
      <c r="H8" s="9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 spans="1:30" ht="14.5">
      <c r="A9" s="6"/>
      <c r="B9" s="31" t="s">
        <v>99</v>
      </c>
      <c r="C9" s="32">
        <v>0.04</v>
      </c>
      <c r="D9" s="33" t="s">
        <v>97</v>
      </c>
      <c r="E9" s="34" t="s">
        <v>100</v>
      </c>
      <c r="F9" s="6"/>
      <c r="H9" s="103">
        <f>DCF_Per_Share</f>
        <v>222.2752183998943</v>
      </c>
      <c r="I9" s="95">
        <v>0.09</v>
      </c>
      <c r="J9" s="95">
        <v>0.1</v>
      </c>
      <c r="K9" s="95">
        <v>0.11</v>
      </c>
      <c r="L9" s="95">
        <v>0.12</v>
      </c>
      <c r="M9" s="95">
        <v>0.13</v>
      </c>
      <c r="N9" s="13"/>
      <c r="O9" s="13"/>
      <c r="P9" s="13"/>
      <c r="Q9" s="13"/>
      <c r="R9" s="13"/>
      <c r="S9" s="13"/>
      <c r="T9" s="13"/>
      <c r="U9" s="13"/>
      <c r="V9" s="13"/>
      <c r="W9" s="13"/>
    </row>
    <row r="10" spans="1:30" ht="14.5">
      <c r="A10" s="6"/>
      <c r="B10" s="31" t="s">
        <v>101</v>
      </c>
      <c r="C10" s="118">
        <f>CHOOSE($D$2,C42,D42,E42)</f>
        <v>0.95</v>
      </c>
      <c r="D10" s="33" t="s">
        <v>97</v>
      </c>
      <c r="E10" s="34" t="s">
        <v>401</v>
      </c>
      <c r="F10" s="6"/>
      <c r="H10" s="95">
        <v>0.02</v>
      </c>
      <c r="I10" s="96">
        <f t="dataTable" ref="I10:M14" dt2D="1" dtr="1" r1="C7" r2="C8"/>
        <v>285.57090623809353</v>
      </c>
      <c r="J10" s="96">
        <v>246.80672156133122</v>
      </c>
      <c r="K10" s="96">
        <v>216.7575580111457</v>
      </c>
      <c r="L10" s="96">
        <v>192.80485115205661</v>
      </c>
      <c r="M10" s="96">
        <v>173.28244306198977</v>
      </c>
      <c r="N10" s="13"/>
      <c r="O10" s="13"/>
      <c r="P10" s="13"/>
      <c r="Q10" s="13"/>
      <c r="R10" s="13"/>
      <c r="S10" s="13"/>
    </row>
    <row r="11" spans="1:30" ht="14.5">
      <c r="A11" s="6"/>
      <c r="B11" s="31" t="s">
        <v>102</v>
      </c>
      <c r="C11" s="118">
        <f>CHOOSE($D$2,C43,D43,E43)</f>
        <v>0.95</v>
      </c>
      <c r="D11" s="33" t="s">
        <v>97</v>
      </c>
      <c r="E11" s="34" t="s">
        <v>400</v>
      </c>
      <c r="F11" s="6"/>
      <c r="H11" s="95">
        <f>H10+0.5%</f>
        <v>2.5000000000000001E-2</v>
      </c>
      <c r="I11" s="96">
        <v>304.11060648426661</v>
      </c>
      <c r="J11" s="96">
        <v>260.36167735294015</v>
      </c>
      <c r="K11" s="96">
        <v>227.01093076736547</v>
      </c>
      <c r="L11" s="96">
        <v>200.77055948539933</v>
      </c>
      <c r="M11" s="96">
        <v>179.60545990042021</v>
      </c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 spans="1:30" ht="14.5">
      <c r="A12" s="6"/>
      <c r="B12" s="31" t="s">
        <v>103</v>
      </c>
      <c r="C12" s="32">
        <v>0.15</v>
      </c>
      <c r="D12" s="33" t="s">
        <v>97</v>
      </c>
      <c r="E12" s="34" t="s">
        <v>104</v>
      </c>
      <c r="F12" s="6"/>
      <c r="H12" s="95">
        <f>H11+0.5%</f>
        <v>3.0000000000000002E-2</v>
      </c>
      <c r="I12" s="96">
        <v>325.74025677146869</v>
      </c>
      <c r="J12" s="96">
        <v>275.85305540049319</v>
      </c>
      <c r="K12" s="96">
        <v>238.54597511811272</v>
      </c>
      <c r="L12" s="96">
        <v>209.62134652244688</v>
      </c>
      <c r="M12" s="96">
        <v>186.5607784226938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 spans="1:30" ht="14.5">
      <c r="A13" s="6"/>
      <c r="B13" s="31" t="s">
        <v>105</v>
      </c>
      <c r="C13" s="32">
        <v>0.6</v>
      </c>
      <c r="D13" s="33" t="s">
        <v>97</v>
      </c>
      <c r="E13" s="34" t="s">
        <v>106</v>
      </c>
      <c r="F13" s="6"/>
      <c r="H13" s="95">
        <f>H12+0.5%</f>
        <v>3.5000000000000003E-2</v>
      </c>
      <c r="I13" s="96">
        <v>351.30257074725284</v>
      </c>
      <c r="J13" s="96">
        <v>293.72772237843901</v>
      </c>
      <c r="K13" s="96">
        <v>251.61902538229285</v>
      </c>
      <c r="L13" s="96">
        <v>219.51340262267644</v>
      </c>
      <c r="M13" s="96">
        <v>194.2482357367856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 spans="1:30" ht="14.5">
      <c r="A14" s="6"/>
      <c r="B14" s="31" t="s">
        <v>107</v>
      </c>
      <c r="C14" s="32">
        <v>0.3</v>
      </c>
      <c r="D14" s="33" t="s">
        <v>97</v>
      </c>
      <c r="E14" s="34" t="s">
        <v>108</v>
      </c>
      <c r="F14" s="6"/>
      <c r="H14" s="95">
        <f>H13+0.5%</f>
        <v>0.04</v>
      </c>
      <c r="I14" s="96">
        <v>381.97734751819388</v>
      </c>
      <c r="J14" s="96">
        <v>314.58150051937582</v>
      </c>
      <c r="K14" s="96">
        <v>266.55965425564159</v>
      </c>
      <c r="L14" s="96">
        <v>230.64196573543475</v>
      </c>
      <c r="M14" s="96">
        <v>202.78985497466542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 spans="1:30" ht="14.5">
      <c r="A15" s="6"/>
      <c r="B15" s="31" t="s">
        <v>109</v>
      </c>
      <c r="C15" s="32">
        <v>0</v>
      </c>
      <c r="D15" s="33" t="s">
        <v>97</v>
      </c>
      <c r="E15" s="34" t="s">
        <v>110</v>
      </c>
      <c r="F15" s="6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ht="14.5">
      <c r="A16" s="6"/>
      <c r="B16" s="31" t="s">
        <v>111</v>
      </c>
      <c r="C16" s="117">
        <f>CHOOSE($D$2,C44,D44,E44)</f>
        <v>0.65</v>
      </c>
      <c r="D16" s="33" t="s">
        <v>97</v>
      </c>
      <c r="E16" s="34" t="s">
        <v>112</v>
      </c>
      <c r="F16" s="6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ht="13.5" customHeight="1">
      <c r="A17" s="6"/>
      <c r="B17" s="85" t="s">
        <v>399</v>
      </c>
      <c r="C17" s="32">
        <v>0.75</v>
      </c>
      <c r="D17" s="33" t="s">
        <v>97</v>
      </c>
      <c r="E17" s="34" t="s">
        <v>364</v>
      </c>
      <c r="F17" s="6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</row>
    <row r="18" spans="1:30" ht="13.5" customHeight="1">
      <c r="A18" s="6"/>
      <c r="B18" s="85" t="s">
        <v>398</v>
      </c>
      <c r="C18" s="117">
        <f>CHOOSE($D$2,C45,D45,E45)</f>
        <v>0.7</v>
      </c>
      <c r="D18" s="33" t="s">
        <v>97</v>
      </c>
      <c r="E18" s="34" t="s">
        <v>445</v>
      </c>
      <c r="F18" s="6"/>
      <c r="K18" s="9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</row>
    <row r="19" spans="1:30" ht="14.5">
      <c r="A19" s="6"/>
      <c r="B19" s="31" t="s">
        <v>113</v>
      </c>
      <c r="C19" s="32">
        <v>0.09</v>
      </c>
      <c r="D19" s="33" t="s">
        <v>97</v>
      </c>
      <c r="E19" s="34" t="s">
        <v>114</v>
      </c>
      <c r="F19" s="6"/>
      <c r="K19" s="9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</row>
    <row r="20" spans="1:30" ht="14.5">
      <c r="A20" s="6"/>
      <c r="B20" s="31" t="s">
        <v>115</v>
      </c>
      <c r="C20" s="32">
        <v>0.02</v>
      </c>
      <c r="D20" s="33" t="s">
        <v>97</v>
      </c>
      <c r="E20" s="34" t="s">
        <v>116</v>
      </c>
      <c r="F20" s="6"/>
      <c r="K20" s="9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</row>
    <row r="21" spans="1:30" ht="14.5">
      <c r="A21" s="6"/>
      <c r="B21" s="31" t="s">
        <v>117</v>
      </c>
      <c r="C21" s="32">
        <v>2.2499999999999999E-2</v>
      </c>
      <c r="D21" s="33" t="s">
        <v>97</v>
      </c>
      <c r="E21" s="34" t="s">
        <v>365</v>
      </c>
      <c r="F21" s="6"/>
      <c r="K21" s="9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ht="14.5">
      <c r="A22" s="6"/>
      <c r="B22" s="31" t="s">
        <v>362</v>
      </c>
      <c r="C22" s="32">
        <v>4.2999999999999997E-2</v>
      </c>
      <c r="D22" s="33" t="s">
        <v>97</v>
      </c>
      <c r="E22" s="34" t="s">
        <v>363</v>
      </c>
      <c r="F22" s="6"/>
      <c r="K22" s="9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ht="14.5">
      <c r="A23" s="6"/>
      <c r="B23" s="31" t="s">
        <v>118</v>
      </c>
      <c r="C23" s="32">
        <v>0.16500000000000001</v>
      </c>
      <c r="D23" s="33" t="s">
        <v>97</v>
      </c>
      <c r="E23" s="34" t="s">
        <v>395</v>
      </c>
      <c r="F23" s="6"/>
      <c r="K23" s="9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</row>
    <row r="24" spans="1:30" ht="14.5">
      <c r="A24" s="6"/>
      <c r="B24" s="31" t="s">
        <v>119</v>
      </c>
      <c r="C24" s="35">
        <v>65</v>
      </c>
      <c r="D24" s="33" t="s">
        <v>120</v>
      </c>
      <c r="E24" s="34" t="s">
        <v>354</v>
      </c>
      <c r="F24" s="6"/>
      <c r="K24" s="9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ht="14.5">
      <c r="A25" s="6"/>
      <c r="B25" s="31" t="s">
        <v>121</v>
      </c>
      <c r="C25" s="35">
        <v>120</v>
      </c>
      <c r="D25" s="33" t="s">
        <v>120</v>
      </c>
      <c r="E25" s="34" t="s">
        <v>356</v>
      </c>
      <c r="F25" s="6"/>
      <c r="K25" s="9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ht="14.5">
      <c r="A26" s="6"/>
      <c r="B26" s="31" t="s">
        <v>122</v>
      </c>
      <c r="C26" s="35">
        <v>60</v>
      </c>
      <c r="D26" s="33" t="s">
        <v>120</v>
      </c>
      <c r="E26" s="34" t="s">
        <v>355</v>
      </c>
      <c r="F26" s="6"/>
      <c r="K26" s="9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</row>
    <row r="27" spans="1:30" ht="14.5">
      <c r="A27" s="6"/>
      <c r="B27" s="31" t="s">
        <v>123</v>
      </c>
      <c r="C27" s="32">
        <v>0.03</v>
      </c>
      <c r="D27" s="33" t="s">
        <v>97</v>
      </c>
      <c r="E27" s="34" t="s">
        <v>124</v>
      </c>
      <c r="F27" s="6"/>
      <c r="K27" s="9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  <row r="28" spans="1:30" ht="14.5">
      <c r="A28" s="6"/>
      <c r="B28" s="31" t="s">
        <v>125</v>
      </c>
      <c r="C28" s="99">
        <v>1</v>
      </c>
      <c r="D28" s="33" t="s">
        <v>126</v>
      </c>
      <c r="E28" s="34" t="s">
        <v>369</v>
      </c>
      <c r="F28" s="6"/>
      <c r="K28" s="9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</row>
    <row r="29" spans="1:30" ht="14.5">
      <c r="A29" s="6"/>
      <c r="B29" s="31" t="s">
        <v>379</v>
      </c>
      <c r="C29" s="35">
        <v>12886</v>
      </c>
      <c r="E29" s="34" t="s">
        <v>380</v>
      </c>
      <c r="F29" s="6"/>
      <c r="K29" s="9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</row>
    <row r="30" spans="1:30" ht="14.5">
      <c r="A30" s="6"/>
      <c r="B30" s="97" t="s">
        <v>367</v>
      </c>
      <c r="C30" s="99">
        <v>0.25</v>
      </c>
      <c r="D30" s="33" t="s">
        <v>126</v>
      </c>
      <c r="E30" s="34" t="s">
        <v>402</v>
      </c>
      <c r="F30" s="6"/>
      <c r="K30" s="9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</row>
    <row r="31" spans="1:30" ht="14.5">
      <c r="A31" s="6"/>
      <c r="B31" s="85" t="s">
        <v>127</v>
      </c>
      <c r="C31" s="36">
        <v>60</v>
      </c>
      <c r="D31" s="33" t="s">
        <v>128</v>
      </c>
      <c r="E31" s="34" t="s">
        <v>129</v>
      </c>
      <c r="F31" s="6"/>
      <c r="K31" s="9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</row>
    <row r="32" spans="1:30" ht="14.5">
      <c r="A32" s="6"/>
      <c r="B32" s="85" t="s">
        <v>130</v>
      </c>
      <c r="C32" s="37">
        <v>22</v>
      </c>
      <c r="D32" s="33" t="s">
        <v>131</v>
      </c>
      <c r="E32" s="34" t="s">
        <v>132</v>
      </c>
      <c r="F32" s="6"/>
      <c r="K32" s="9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</row>
    <row r="33" spans="1:30" ht="14.5">
      <c r="A33" s="6"/>
      <c r="B33" s="31" t="s">
        <v>133</v>
      </c>
      <c r="C33" s="37">
        <v>25</v>
      </c>
      <c r="D33" s="33" t="s">
        <v>131</v>
      </c>
      <c r="E33" s="34" t="s">
        <v>134</v>
      </c>
      <c r="F33" s="6"/>
      <c r="K33" s="9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</row>
    <row r="34" spans="1:30">
      <c r="B34" s="31" t="s">
        <v>313</v>
      </c>
      <c r="C34" s="32">
        <v>0.08</v>
      </c>
      <c r="D34" s="33" t="s">
        <v>97</v>
      </c>
      <c r="E34" s="34" t="s">
        <v>368</v>
      </c>
      <c r="F34" s="78"/>
    </row>
    <row r="35" spans="1:30">
      <c r="B35" s="85" t="s">
        <v>321</v>
      </c>
      <c r="C35" s="32">
        <f>FLOOR(AVERAGE(C66:D66),0.5%)</f>
        <v>0.35000000000000003</v>
      </c>
      <c r="D35" s="33" t="s">
        <v>97</v>
      </c>
      <c r="E35" s="34" t="s">
        <v>396</v>
      </c>
    </row>
    <row r="36" spans="1:30">
      <c r="B36" s="85" t="s">
        <v>381</v>
      </c>
      <c r="C36" s="32">
        <v>0.23</v>
      </c>
      <c r="D36" s="33" t="s">
        <v>97</v>
      </c>
      <c r="E36" s="34" t="s">
        <v>382</v>
      </c>
    </row>
    <row r="37" spans="1:30">
      <c r="B37" s="76" t="s">
        <v>392</v>
      </c>
      <c r="C37" s="99">
        <v>235000</v>
      </c>
      <c r="D37" s="33" t="s">
        <v>126</v>
      </c>
      <c r="E37" s="34" t="s">
        <v>442</v>
      </c>
    </row>
    <row r="38" spans="1:30">
      <c r="B38" s="97" t="s">
        <v>366</v>
      </c>
      <c r="C38" s="99">
        <f>Historical_Data!F33</f>
        <v>6290</v>
      </c>
      <c r="D38" s="33" t="s">
        <v>126</v>
      </c>
      <c r="E38" s="34" t="s">
        <v>370</v>
      </c>
    </row>
    <row r="39" spans="1:30">
      <c r="E39" s="34"/>
    </row>
    <row r="40" spans="1:30">
      <c r="B40" s="104" t="s">
        <v>403</v>
      </c>
      <c r="C40" s="30" t="s">
        <v>93</v>
      </c>
      <c r="D40" s="30" t="s">
        <v>94</v>
      </c>
      <c r="E40" s="30" t="s">
        <v>95</v>
      </c>
    </row>
    <row r="42" spans="1:30">
      <c r="B42" s="148" t="str">
        <f>B10</f>
        <v>DC Compute Growth (FY26</v>
      </c>
      <c r="C42" s="83">
        <v>0.8</v>
      </c>
      <c r="D42" s="83">
        <v>0.95</v>
      </c>
      <c r="E42" s="83">
        <v>1.05</v>
      </c>
    </row>
    <row r="43" spans="1:30">
      <c r="B43" s="149" t="str">
        <f>B11</f>
        <v>DC Networking Growth (FY26</v>
      </c>
      <c r="C43" s="83">
        <v>0.8</v>
      </c>
      <c r="D43" s="83">
        <v>0.95</v>
      </c>
      <c r="E43" s="83">
        <v>1.05</v>
      </c>
    </row>
    <row r="44" spans="1:30">
      <c r="B44" s="148" t="str">
        <f>B16</f>
        <v>Growth Decay Factor</v>
      </c>
      <c r="C44" s="83">
        <v>0.6</v>
      </c>
      <c r="D44" s="83">
        <v>0.65</v>
      </c>
      <c r="E44" s="83">
        <v>0.7</v>
      </c>
    </row>
    <row r="45" spans="1:30">
      <c r="B45" s="148" t="str">
        <f>B18</f>
        <v>GAAP Gross Margin (Terminal)</v>
      </c>
      <c r="C45" s="83">
        <v>0.67500000000000004</v>
      </c>
      <c r="D45" s="83">
        <v>0.7</v>
      </c>
      <c r="E45" s="83">
        <v>0.72499999999999998</v>
      </c>
    </row>
    <row r="47" spans="1:30">
      <c r="B47" s="87" t="s">
        <v>394</v>
      </c>
      <c r="C47" s="82"/>
      <c r="D47" s="29" t="s">
        <v>92</v>
      </c>
      <c r="E47" s="82"/>
    </row>
    <row r="48" spans="1:30">
      <c r="B48" s="76" t="s">
        <v>333</v>
      </c>
      <c r="C48" s="32">
        <v>5.2499999999999998E-2</v>
      </c>
      <c r="D48" s="34" t="s">
        <v>441</v>
      </c>
      <c r="E48" s="76"/>
    </row>
    <row r="49" spans="2:5">
      <c r="B49" s="76" t="s">
        <v>334</v>
      </c>
      <c r="C49" s="32">
        <v>4.1399999999999999E-2</v>
      </c>
      <c r="D49" s="34" t="s">
        <v>444</v>
      </c>
    </row>
    <row r="50" spans="2:5" ht="14.5">
      <c r="B50" s="76" t="s">
        <v>335</v>
      </c>
      <c r="C50" s="99">
        <v>1.52</v>
      </c>
      <c r="D50" s="34" t="s">
        <v>443</v>
      </c>
      <c r="E50" s="13"/>
    </row>
    <row r="51" spans="2:5" ht="14.5">
      <c r="B51" s="76" t="s">
        <v>336</v>
      </c>
      <c r="C51" s="32">
        <f>C48+C50*C49</f>
        <v>0.115428</v>
      </c>
      <c r="D51" s="34"/>
      <c r="E51" s="13"/>
    </row>
    <row r="52" spans="2:5" ht="14.5">
      <c r="B52" s="76" t="s">
        <v>337</v>
      </c>
      <c r="C52" s="100">
        <v>6.0000000000000001E-3</v>
      </c>
      <c r="D52" s="34" t="s">
        <v>338</v>
      </c>
      <c r="E52" s="13"/>
    </row>
    <row r="53" spans="2:5" ht="14.5">
      <c r="B53" s="76" t="s">
        <v>339</v>
      </c>
      <c r="C53" s="100">
        <f>C48+C52</f>
        <v>5.8499999999999996E-2</v>
      </c>
      <c r="D53" s="34"/>
      <c r="E53" s="13"/>
    </row>
    <row r="54" spans="2:5" ht="14.5">
      <c r="B54" s="76" t="s">
        <v>340</v>
      </c>
      <c r="C54" s="100">
        <f>C53*(1-Tax_Rate)</f>
        <v>4.8847499999999995E-2</v>
      </c>
      <c r="D54" s="34"/>
      <c r="E54" s="13"/>
    </row>
    <row r="55" spans="2:5" ht="14.5">
      <c r="B55" s="76" t="s">
        <v>345</v>
      </c>
      <c r="C55" s="101">
        <v>233</v>
      </c>
      <c r="D55" s="34"/>
      <c r="E55" s="13"/>
    </row>
    <row r="56" spans="2:5" ht="14.5">
      <c r="B56" s="76" t="s">
        <v>341</v>
      </c>
      <c r="C56" s="102">
        <f>C55*Historical_Data!E54</f>
        <v>5711762</v>
      </c>
      <c r="D56" s="34"/>
      <c r="E56" s="13"/>
    </row>
    <row r="57" spans="2:5" ht="14.5">
      <c r="B57" s="76" t="s">
        <v>342</v>
      </c>
      <c r="C57" s="102">
        <f>Historical_Data!E49+Historical_Data!E50</f>
        <v>8468</v>
      </c>
      <c r="D57" s="34"/>
      <c r="E57" s="13"/>
    </row>
    <row r="58" spans="2:5" ht="14.5">
      <c r="B58" s="76" t="s">
        <v>343</v>
      </c>
      <c r="C58" s="100">
        <f>C56/SUM(C56:C57)</f>
        <v>0.99851963994454773</v>
      </c>
      <c r="D58" s="34"/>
      <c r="E58" s="13"/>
    </row>
    <row r="59" spans="2:5" ht="14.5">
      <c r="B59" s="76" t="s">
        <v>344</v>
      </c>
      <c r="C59" s="100">
        <f>C57/SUM(C56:C57)</f>
        <v>1.4803600554523157E-3</v>
      </c>
      <c r="D59" s="34"/>
      <c r="E59" s="13"/>
    </row>
    <row r="60" spans="2:5" ht="14.5">
      <c r="E60" s="13"/>
    </row>
    <row r="61" spans="2:5">
      <c r="B61" s="82" t="s">
        <v>324</v>
      </c>
      <c r="C61" s="82"/>
      <c r="D61" s="82"/>
      <c r="E61" s="82"/>
    </row>
    <row r="62" spans="2:5">
      <c r="B62" s="147"/>
      <c r="C62" s="147"/>
      <c r="D62" s="147"/>
      <c r="E62" s="147"/>
    </row>
    <row r="63" spans="2:5">
      <c r="B63" s="147"/>
      <c r="C63" s="82" t="s">
        <v>323</v>
      </c>
      <c r="D63" s="30" t="s">
        <v>397</v>
      </c>
      <c r="E63" s="147"/>
    </row>
    <row r="64" spans="2:5">
      <c r="B64" s="147"/>
      <c r="C64" s="147"/>
      <c r="D64" s="39"/>
      <c r="E64" s="147"/>
    </row>
    <row r="65" spans="2:5" ht="14.5">
      <c r="B65" s="31" t="s">
        <v>322</v>
      </c>
      <c r="C65" s="111">
        <f>(Historical_Data!C44+Historical_Data!D44)/2</f>
        <v>5098.5</v>
      </c>
      <c r="D65" s="111">
        <f>(Historical_Data!D44+Historical_Data!E44)/2</f>
        <v>8333</v>
      </c>
      <c r="E65" s="13"/>
    </row>
    <row r="66" spans="2:5">
      <c r="B66" s="31" t="s">
        <v>325</v>
      </c>
      <c r="C66" s="84">
        <f>Historical_Data!D27/Assumptions!C65</f>
        <v>0.36559772482102582</v>
      </c>
      <c r="D66" s="84">
        <f>Historical_Data!E27/Assumptions!D65</f>
        <v>0.34117364694587782</v>
      </c>
    </row>
  </sheetData>
  <dataValidations disablePrompts="1" count="1">
    <dataValidation type="whole" allowBlank="1" showInputMessage="1" showErrorMessage="1" sqref="D2" xr:uid="{04D08E13-D991-4E98-B38B-9D98908F6E66}">
      <formula1>1</formula1>
      <formula2>3</formula2>
    </dataValidation>
  </dataValidations>
  <pageMargins left="0.74803149606299213" right="0.74803149606299213" top="0.98425196850393704" bottom="0.98425196850393704" header="0.51181102362204722" footer="0.51181102362204722"/>
  <pageSetup paperSize="9" scale="97" orientation="landscape" horizontalDpi="300" verticalDpi="300" r:id="rId1"/>
  <headerFooter>
    <oddHeader>&amp;R&amp;"Arial,Bold"BASE CASE</oddHeader>
    <oddFooter>&amp;R&amp;"Times New Roman,Regular"&amp;10Research by T Ghiyas Kausara</oddFooter>
  </headerFooter>
  <rowBreaks count="1" manualBreakCount="1">
    <brk id="59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0" r:id="rId4" name="Drop Down 4">
              <controlPr defaultSize="0" autoLine="0" autoPict="0">
                <anchor moveWithCells="1">
                  <from>
                    <xdr:col>3</xdr:col>
                    <xdr:colOff>25400</xdr:colOff>
                    <xdr:row>1</xdr:row>
                    <xdr:rowOff>38100</xdr:rowOff>
                  </from>
                  <to>
                    <xdr:col>4</xdr:col>
                    <xdr:colOff>641350</xdr:colOff>
                    <xdr:row>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86EA"/>
  </sheetPr>
  <dimension ref="A1:AD62"/>
  <sheetViews>
    <sheetView showGridLines="0" view="pageBreakPreview" zoomScale="60" zoomScaleNormal="100" workbookViewId="0">
      <selection activeCell="B32" sqref="B32"/>
    </sheetView>
  </sheetViews>
  <sheetFormatPr defaultColWidth="8.58203125" defaultRowHeight="14"/>
  <cols>
    <col min="1" max="1" width="2.5" customWidth="1"/>
    <col min="2" max="2" width="38" customWidth="1"/>
    <col min="3" max="10" width="12.5" customWidth="1"/>
  </cols>
  <sheetData>
    <row r="1" spans="1:30" ht="14.5">
      <c r="A1" s="1"/>
      <c r="B1" s="1"/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21.75" customHeight="1">
      <c r="A2" s="1"/>
      <c r="B2" s="3" t="s">
        <v>135</v>
      </c>
      <c r="C2" s="1"/>
      <c r="D2" s="1"/>
      <c r="E2" s="1"/>
      <c r="F2" s="1"/>
      <c r="G2" s="1"/>
      <c r="H2" s="1"/>
      <c r="I2" s="1"/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5">
      <c r="A3" s="1"/>
      <c r="B3" s="5" t="s">
        <v>361</v>
      </c>
      <c r="C3" s="1"/>
      <c r="D3" s="1"/>
      <c r="E3" s="1"/>
      <c r="F3" s="1"/>
      <c r="G3" s="1"/>
      <c r="H3" s="1"/>
      <c r="I3" s="1"/>
      <c r="J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5">
      <c r="A4" s="6"/>
      <c r="B4" s="6"/>
      <c r="C4" s="6"/>
      <c r="D4" s="6"/>
      <c r="E4" s="6"/>
      <c r="F4" s="6"/>
      <c r="G4" s="6"/>
      <c r="H4" s="6"/>
      <c r="I4" s="6"/>
      <c r="J4" s="6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ht="14.5">
      <c r="A5" s="6"/>
      <c r="B5" s="38" t="s">
        <v>136</v>
      </c>
      <c r="C5" s="104" t="s">
        <v>64</v>
      </c>
      <c r="D5" s="104" t="s">
        <v>65</v>
      </c>
      <c r="E5" s="104" t="s">
        <v>347</v>
      </c>
      <c r="F5" s="109" t="s">
        <v>357</v>
      </c>
      <c r="G5" s="39"/>
      <c r="H5" s="39"/>
      <c r="I5" s="39"/>
      <c r="J5" s="3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1:30" ht="14.5">
      <c r="A6" s="6"/>
      <c r="B6" s="6"/>
      <c r="C6" s="6"/>
      <c r="D6" s="6"/>
      <c r="E6" s="6"/>
      <c r="F6" s="6"/>
      <c r="G6" s="6"/>
      <c r="H6" s="6"/>
      <c r="I6" s="6"/>
      <c r="J6" s="6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ht="14.5">
      <c r="A7" s="6"/>
      <c r="B7" s="40" t="s">
        <v>137</v>
      </c>
      <c r="C7" s="8"/>
      <c r="D7" s="8"/>
      <c r="E7" s="8"/>
      <c r="F7" s="8"/>
      <c r="G7" s="8"/>
      <c r="H7" s="8"/>
      <c r="I7" s="8"/>
      <c r="J7" s="8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ht="14.5">
      <c r="A8" s="6"/>
      <c r="B8" s="41" t="s">
        <v>51</v>
      </c>
      <c r="C8" s="42">
        <v>60922</v>
      </c>
      <c r="D8" s="42">
        <v>130497</v>
      </c>
      <c r="E8" s="42">
        <v>215938</v>
      </c>
      <c r="F8" s="42">
        <v>177837</v>
      </c>
      <c r="G8" s="6"/>
      <c r="H8" s="6"/>
      <c r="I8" s="6"/>
      <c r="J8" s="6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</row>
    <row r="9" spans="1:30" ht="14.5">
      <c r="A9" s="6"/>
      <c r="B9" s="31" t="s">
        <v>138</v>
      </c>
      <c r="C9" s="42">
        <v>16621</v>
      </c>
      <c r="D9" s="42">
        <v>32639</v>
      </c>
      <c r="E9" s="42">
        <v>62475</v>
      </c>
      <c r="F9" s="42">
        <v>44538</v>
      </c>
      <c r="G9" s="6"/>
      <c r="H9" s="6"/>
      <c r="I9" s="6"/>
      <c r="J9" s="6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ht="14.5">
      <c r="A10" s="6"/>
      <c r="B10" s="41" t="s">
        <v>139</v>
      </c>
      <c r="C10" s="42">
        <v>44301</v>
      </c>
      <c r="D10" s="42">
        <v>97858</v>
      </c>
      <c r="E10" s="42">
        <v>153463</v>
      </c>
      <c r="F10" s="42">
        <v>133299</v>
      </c>
      <c r="G10" s="6"/>
      <c r="H10" s="6"/>
      <c r="I10" s="6"/>
      <c r="J10" s="6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ht="14.5">
      <c r="A11" s="6"/>
      <c r="B11" s="31" t="s">
        <v>140</v>
      </c>
      <c r="C11" s="42">
        <v>8675</v>
      </c>
      <c r="D11" s="42">
        <v>12914</v>
      </c>
      <c r="E11" s="42">
        <v>18497</v>
      </c>
      <c r="F11" s="42">
        <v>13375</v>
      </c>
      <c r="G11" s="6"/>
      <c r="H11" s="6"/>
      <c r="I11" s="6"/>
      <c r="J11" s="6"/>
      <c r="K11" s="6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</row>
    <row r="12" spans="1:30" ht="14.5">
      <c r="A12" s="6"/>
      <c r="B12" s="31" t="s">
        <v>141</v>
      </c>
      <c r="C12" s="42">
        <v>2654</v>
      </c>
      <c r="D12" s="42">
        <v>3491</v>
      </c>
      <c r="E12" s="42">
        <v>4579</v>
      </c>
      <c r="F12" s="42">
        <v>2654</v>
      </c>
      <c r="G12" s="6"/>
      <c r="H12" s="6"/>
      <c r="I12" s="6"/>
      <c r="J12" s="6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ht="14.5">
      <c r="A13" s="6"/>
      <c r="B13" s="41" t="s">
        <v>142</v>
      </c>
      <c r="C13" s="42">
        <v>32972</v>
      </c>
      <c r="D13" s="42">
        <v>81453</v>
      </c>
      <c r="E13" s="42">
        <v>130387</v>
      </c>
      <c r="F13" s="42">
        <v>117270</v>
      </c>
      <c r="G13" s="6"/>
      <c r="H13" s="6"/>
      <c r="I13" s="6"/>
      <c r="J13" s="6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ht="14.5">
      <c r="A14" s="6"/>
      <c r="B14" s="31" t="s">
        <v>143</v>
      </c>
      <c r="C14" s="42">
        <v>846</v>
      </c>
      <c r="D14" s="42">
        <v>2573</v>
      </c>
      <c r="E14" s="42">
        <v>11063</v>
      </c>
      <c r="F14" s="42">
        <v>24140</v>
      </c>
      <c r="G14" s="6"/>
      <c r="H14" s="6"/>
      <c r="I14" s="6"/>
      <c r="J14" s="6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</row>
    <row r="15" spans="1:30" ht="14.5">
      <c r="A15" s="6"/>
      <c r="B15" s="31" t="s">
        <v>144</v>
      </c>
      <c r="C15" s="42">
        <v>33818</v>
      </c>
      <c r="D15" s="42">
        <v>84026</v>
      </c>
      <c r="E15" s="42">
        <v>141450</v>
      </c>
      <c r="F15" s="42">
        <v>141410</v>
      </c>
      <c r="G15" s="6"/>
      <c r="H15" s="6"/>
      <c r="I15" s="6"/>
      <c r="J15" s="6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ht="14.5">
      <c r="A16" s="6"/>
      <c r="B16" s="31" t="s">
        <v>145</v>
      </c>
      <c r="C16" s="42">
        <v>4058</v>
      </c>
      <c r="D16" s="42">
        <v>11146</v>
      </c>
      <c r="E16" s="42">
        <v>21383</v>
      </c>
      <c r="F16" s="42">
        <v>23400</v>
      </c>
      <c r="G16" s="6"/>
      <c r="H16" s="6"/>
      <c r="I16" s="6"/>
      <c r="J16" s="6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ht="14.5">
      <c r="A17" s="6"/>
      <c r="B17" s="41" t="s">
        <v>146</v>
      </c>
      <c r="C17" s="42">
        <v>29760</v>
      </c>
      <c r="D17" s="42">
        <v>72880</v>
      </c>
      <c r="E17" s="42">
        <v>120067</v>
      </c>
      <c r="F17" s="42">
        <v>118010</v>
      </c>
      <c r="G17" s="6"/>
      <c r="H17" s="6"/>
      <c r="I17" s="6"/>
      <c r="J17" s="6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</row>
    <row r="18" spans="1:30" ht="14.5">
      <c r="A18" s="6"/>
      <c r="B18" s="40" t="s">
        <v>147</v>
      </c>
      <c r="C18" s="8"/>
      <c r="D18" s="8"/>
      <c r="E18" s="8"/>
      <c r="F18" s="8"/>
      <c r="G18" s="8"/>
      <c r="H18" s="8"/>
      <c r="I18" s="8"/>
      <c r="J18" s="8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</row>
    <row r="19" spans="1:30" ht="14.5">
      <c r="A19" s="6"/>
      <c r="B19" s="106" t="s">
        <v>353</v>
      </c>
      <c r="C19" s="42">
        <v>47525</v>
      </c>
      <c r="D19" s="42">
        <v>115186</v>
      </c>
      <c r="E19" s="42">
        <v>193737</v>
      </c>
      <c r="F19" s="42">
        <v>164269</v>
      </c>
      <c r="G19" s="6"/>
      <c r="H19" s="6"/>
      <c r="I19" s="6"/>
      <c r="J19" s="6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</row>
    <row r="20" spans="1:30" ht="14.5">
      <c r="A20" s="6"/>
      <c r="B20" s="31" t="s">
        <v>148</v>
      </c>
      <c r="C20" s="42">
        <v>38950</v>
      </c>
      <c r="D20" s="42">
        <v>102196</v>
      </c>
      <c r="E20" s="42">
        <v>162361</v>
      </c>
      <c r="F20" s="42">
        <v>91761</v>
      </c>
      <c r="G20" s="150" t="s">
        <v>358</v>
      </c>
      <c r="H20" s="6"/>
      <c r="I20" s="6"/>
      <c r="J20" s="6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</row>
    <row r="21" spans="1:30" ht="14.5">
      <c r="A21" s="6"/>
      <c r="B21" s="31" t="s">
        <v>149</v>
      </c>
      <c r="C21" s="42">
        <v>8575</v>
      </c>
      <c r="D21" s="42">
        <v>12990</v>
      </c>
      <c r="E21" s="42">
        <v>31376</v>
      </c>
      <c r="F21" s="42">
        <v>72508</v>
      </c>
      <c r="G21" s="150" t="s">
        <v>359</v>
      </c>
      <c r="H21" s="6"/>
      <c r="I21" s="6"/>
      <c r="J21" s="6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ht="14.5">
      <c r="A22" s="6"/>
      <c r="B22" s="31" t="s">
        <v>150</v>
      </c>
      <c r="C22" s="42">
        <v>10447</v>
      </c>
      <c r="D22" s="42">
        <v>11350</v>
      </c>
      <c r="E22" s="42">
        <v>16042</v>
      </c>
      <c r="F22" s="42">
        <f>F20+F21</f>
        <v>164269</v>
      </c>
      <c r="G22" s="150" t="s">
        <v>188</v>
      </c>
      <c r="H22" s="6"/>
      <c r="I22" s="6"/>
      <c r="J22" s="6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ht="14.5">
      <c r="A23" s="6"/>
      <c r="B23" s="31" t="s">
        <v>151</v>
      </c>
      <c r="C23" s="42">
        <v>1553</v>
      </c>
      <c r="D23" s="42">
        <v>1878</v>
      </c>
      <c r="E23" s="42">
        <v>3191</v>
      </c>
      <c r="F23" s="42">
        <v>13568</v>
      </c>
      <c r="G23" s="150" t="s">
        <v>360</v>
      </c>
      <c r="H23" s="6"/>
      <c r="I23" s="6"/>
      <c r="J23" s="6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</row>
    <row r="24" spans="1:30" ht="14.5">
      <c r="A24" s="6"/>
      <c r="B24" s="31" t="s">
        <v>152</v>
      </c>
      <c r="C24" s="42">
        <v>1091</v>
      </c>
      <c r="D24" s="42">
        <v>1694</v>
      </c>
      <c r="E24" s="42">
        <v>2349</v>
      </c>
      <c r="F24" s="42"/>
      <c r="G24" s="6"/>
      <c r="H24" s="6"/>
      <c r="I24" s="6"/>
      <c r="J24" s="6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ht="14.5">
      <c r="A25" s="6"/>
      <c r="B25" s="31" t="s">
        <v>153</v>
      </c>
      <c r="C25" s="42">
        <v>306</v>
      </c>
      <c r="D25" s="42">
        <v>389</v>
      </c>
      <c r="E25" s="42">
        <v>619</v>
      </c>
      <c r="F25" s="42"/>
      <c r="G25" s="6"/>
      <c r="H25" s="6"/>
      <c r="I25" s="6"/>
      <c r="J25" s="6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ht="14.5">
      <c r="A26" s="6"/>
      <c r="B26" s="40" t="s">
        <v>154</v>
      </c>
      <c r="C26" s="8"/>
      <c r="D26" s="8"/>
      <c r="E26" s="8"/>
      <c r="F26" s="8"/>
      <c r="G26" s="8"/>
      <c r="H26" s="8"/>
      <c r="I26" s="8"/>
      <c r="J26" s="8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</row>
    <row r="27" spans="1:30" ht="14.5">
      <c r="A27" s="6"/>
      <c r="B27" s="31" t="s">
        <v>155</v>
      </c>
      <c r="C27" s="42">
        <v>1508</v>
      </c>
      <c r="D27" s="42">
        <v>1864</v>
      </c>
      <c r="E27" s="42">
        <v>2843</v>
      </c>
      <c r="F27" s="42">
        <v>2124</v>
      </c>
      <c r="G27" s="6"/>
      <c r="H27" s="6"/>
      <c r="I27" s="6"/>
      <c r="J27" s="6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  <row r="28" spans="1:30" ht="14.5">
      <c r="A28" s="6"/>
      <c r="B28" s="31" t="s">
        <v>156</v>
      </c>
      <c r="C28" s="42">
        <v>3549</v>
      </c>
      <c r="D28" s="42">
        <v>4737</v>
      </c>
      <c r="E28" s="42">
        <v>6386</v>
      </c>
      <c r="F28" s="42">
        <v>3954</v>
      </c>
      <c r="G28" s="6"/>
      <c r="H28" s="6"/>
      <c r="I28" s="6"/>
      <c r="J28" s="6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</row>
    <row r="29" spans="1:30" ht="14.5">
      <c r="A29" s="6"/>
      <c r="B29" s="106" t="s">
        <v>348</v>
      </c>
      <c r="C29" s="42">
        <v>28090</v>
      </c>
      <c r="D29" s="42">
        <v>64089</v>
      </c>
      <c r="E29" s="42">
        <v>102718</v>
      </c>
      <c r="F29" s="42">
        <v>74421</v>
      </c>
      <c r="G29" s="6"/>
      <c r="H29" s="6"/>
      <c r="I29" s="6"/>
      <c r="J29" s="6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</row>
    <row r="30" spans="1:30" ht="14.5">
      <c r="A30" s="6"/>
      <c r="B30" s="31" t="s">
        <v>157</v>
      </c>
      <c r="C30" s="42">
        <v>1069</v>
      </c>
      <c r="D30" s="42">
        <v>3236</v>
      </c>
      <c r="E30" s="42">
        <v>6042</v>
      </c>
      <c r="F30" s="42">
        <v>4434</v>
      </c>
      <c r="G30" s="6"/>
      <c r="H30" s="6"/>
      <c r="I30" s="6"/>
      <c r="J30" s="6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</row>
    <row r="31" spans="1:30" ht="14.5">
      <c r="A31" s="6"/>
      <c r="B31" s="105" t="s">
        <v>251</v>
      </c>
      <c r="C31" s="42">
        <v>-10566</v>
      </c>
      <c r="D31" s="42">
        <v>-20421</v>
      </c>
      <c r="E31" s="42">
        <v>-52228</v>
      </c>
      <c r="F31" s="42">
        <v>-35124</v>
      </c>
      <c r="G31" s="6"/>
      <c r="H31" s="6"/>
      <c r="I31" s="6"/>
      <c r="J31" s="6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</row>
    <row r="32" spans="1:30" ht="14.5">
      <c r="A32" s="6"/>
      <c r="B32" s="31" t="s">
        <v>158</v>
      </c>
      <c r="C32" s="42">
        <v>9533</v>
      </c>
      <c r="D32" s="42">
        <v>33706</v>
      </c>
      <c r="E32" s="42">
        <v>40086</v>
      </c>
      <c r="F32" s="42">
        <v>39044</v>
      </c>
      <c r="G32" s="6"/>
      <c r="H32" s="6"/>
      <c r="I32" s="6"/>
      <c r="J32" s="6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</row>
    <row r="33" spans="1:30" ht="14.5">
      <c r="A33" s="6"/>
      <c r="B33" s="31" t="s">
        <v>159</v>
      </c>
      <c r="C33" s="42">
        <v>395</v>
      </c>
      <c r="D33" s="42">
        <v>834</v>
      </c>
      <c r="E33" s="42">
        <v>974</v>
      </c>
      <c r="F33" s="42">
        <v>6290</v>
      </c>
      <c r="G33" s="6"/>
      <c r="H33" s="6"/>
      <c r="I33" s="6"/>
      <c r="J33" s="6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</row>
    <row r="34" spans="1:30" ht="14.5">
      <c r="A34" s="6"/>
      <c r="B34" s="105" t="s">
        <v>253</v>
      </c>
      <c r="C34" s="42">
        <v>-13633</v>
      </c>
      <c r="D34" s="42">
        <v>-42359</v>
      </c>
      <c r="E34" s="42">
        <v>-48474</v>
      </c>
      <c r="F34" s="42">
        <v>-27459</v>
      </c>
      <c r="G34" s="6"/>
      <c r="H34" s="6"/>
      <c r="I34" s="6"/>
      <c r="J34" s="6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</row>
    <row r="35" spans="1:30" ht="14.5">
      <c r="A35" s="6"/>
      <c r="B35" t="s">
        <v>256</v>
      </c>
      <c r="C35" s="42">
        <f>C39-C37</f>
        <v>3389</v>
      </c>
      <c r="D35" s="42">
        <f>D39-D37</f>
        <v>7280</v>
      </c>
      <c r="E35" s="42">
        <f>E39-E37</f>
        <v>8589</v>
      </c>
      <c r="F35" s="42">
        <v>10605</v>
      </c>
      <c r="G35" s="6"/>
      <c r="H35" s="6"/>
      <c r="I35" s="6"/>
      <c r="J35" s="6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</row>
    <row r="36" spans="1:30" ht="14.5">
      <c r="A36" s="6"/>
      <c r="B36" s="76" t="s">
        <v>346</v>
      </c>
      <c r="C36" s="42">
        <v>1250</v>
      </c>
      <c r="D36" s="42">
        <v>1250</v>
      </c>
      <c r="E36" s="42"/>
      <c r="F36" s="42">
        <v>0</v>
      </c>
      <c r="G36" s="6"/>
      <c r="H36" s="6"/>
      <c r="I36" s="6"/>
      <c r="J36" s="6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</row>
    <row r="37" spans="1:30" ht="14.5">
      <c r="A37" s="6"/>
      <c r="B37" t="s">
        <v>255</v>
      </c>
      <c r="C37" s="42">
        <f>C29+C31+C34</f>
        <v>3891</v>
      </c>
      <c r="D37" s="42">
        <f>D29+D31+D34</f>
        <v>1309</v>
      </c>
      <c r="E37" s="42">
        <f>E29+E31+E34</f>
        <v>2016</v>
      </c>
      <c r="F37" s="42">
        <v>11838</v>
      </c>
      <c r="G37" s="6"/>
      <c r="H37" s="6"/>
      <c r="I37" s="6"/>
      <c r="J37" s="6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</row>
    <row r="38" spans="1:30" ht="14.5">
      <c r="A38" s="6"/>
      <c r="B38" s="40" t="s">
        <v>160</v>
      </c>
      <c r="C38" s="8"/>
      <c r="D38" s="8"/>
      <c r="E38" s="8"/>
      <c r="F38" s="8"/>
      <c r="G38" s="8"/>
      <c r="H38" s="8"/>
      <c r="I38" s="8"/>
      <c r="J38" s="8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</row>
    <row r="39" spans="1:30" ht="14.5">
      <c r="A39" s="6"/>
      <c r="B39" s="31" t="s">
        <v>161</v>
      </c>
      <c r="C39" s="42">
        <v>7280</v>
      </c>
      <c r="D39" s="42">
        <v>8589</v>
      </c>
      <c r="E39" s="42">
        <v>10605</v>
      </c>
      <c r="F39" s="42">
        <v>22443</v>
      </c>
      <c r="G39" s="6"/>
      <c r="H39" s="6"/>
      <c r="I39" s="6"/>
      <c r="J39" s="6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</row>
    <row r="40" spans="1:30" ht="14.5">
      <c r="A40" s="6"/>
      <c r="B40" s="31" t="s">
        <v>162</v>
      </c>
      <c r="C40" s="42">
        <v>18704</v>
      </c>
      <c r="D40" s="42">
        <v>34621</v>
      </c>
      <c r="E40" s="42">
        <v>51951</v>
      </c>
      <c r="F40" s="42">
        <v>34143</v>
      </c>
      <c r="G40" s="6"/>
      <c r="H40" s="6"/>
      <c r="I40" s="6"/>
      <c r="J40" s="6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</row>
    <row r="41" spans="1:30" ht="14.5">
      <c r="A41" s="6"/>
      <c r="B41" s="31" t="s">
        <v>163</v>
      </c>
      <c r="C41" s="42">
        <v>9999</v>
      </c>
      <c r="D41" s="42">
        <v>23065</v>
      </c>
      <c r="E41" s="42">
        <v>38466</v>
      </c>
      <c r="F41" s="42">
        <v>63059</v>
      </c>
      <c r="G41" s="6"/>
      <c r="H41" s="6"/>
      <c r="I41" s="6"/>
      <c r="J41" s="6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</row>
    <row r="42" spans="1:30" ht="14.5">
      <c r="A42" s="6"/>
      <c r="B42" s="31" t="s">
        <v>164</v>
      </c>
      <c r="C42" s="42">
        <v>5282</v>
      </c>
      <c r="D42" s="42">
        <v>10080</v>
      </c>
      <c r="E42" s="42">
        <v>21403</v>
      </c>
      <c r="F42" s="42">
        <v>31575</v>
      </c>
      <c r="G42" s="6"/>
      <c r="H42" s="6"/>
      <c r="I42" s="6"/>
      <c r="J42" s="6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</row>
    <row r="43" spans="1:30" ht="14.5">
      <c r="A43" s="6"/>
      <c r="B43" s="41" t="s">
        <v>165</v>
      </c>
      <c r="C43" s="42">
        <v>44345</v>
      </c>
      <c r="D43" s="42">
        <v>80126</v>
      </c>
      <c r="E43" s="42">
        <v>125605</v>
      </c>
      <c r="F43" s="42">
        <v>197412</v>
      </c>
      <c r="G43" s="6"/>
      <c r="H43" s="6"/>
      <c r="I43" s="6"/>
      <c r="J43" s="6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</row>
    <row r="44" spans="1:30" ht="14.5">
      <c r="A44" s="6"/>
      <c r="B44" s="31" t="s">
        <v>166</v>
      </c>
      <c r="C44" s="42">
        <v>3914</v>
      </c>
      <c r="D44" s="42">
        <v>6283</v>
      </c>
      <c r="E44" s="42">
        <v>10383</v>
      </c>
      <c r="F44" s="42">
        <v>14285</v>
      </c>
      <c r="G44" s="6"/>
      <c r="H44" s="6"/>
      <c r="I44" s="6"/>
      <c r="J44" s="6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</row>
    <row r="45" spans="1:30" ht="14.5">
      <c r="A45" s="6"/>
      <c r="B45" s="31" t="s">
        <v>167</v>
      </c>
      <c r="C45" s="42">
        <v>4430</v>
      </c>
      <c r="D45" s="42">
        <v>5188</v>
      </c>
      <c r="E45" s="42">
        <v>20832</v>
      </c>
      <c r="F45" s="42">
        <v>21125</v>
      </c>
      <c r="G45" s="6"/>
      <c r="H45" s="6"/>
      <c r="I45" s="6"/>
      <c r="J45" s="6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</row>
    <row r="46" spans="1:30" ht="14.5">
      <c r="A46" s="6"/>
      <c r="B46" s="41" t="s">
        <v>168</v>
      </c>
      <c r="C46" s="42">
        <v>65728</v>
      </c>
      <c r="D46" s="42">
        <v>111601</v>
      </c>
      <c r="E46" s="42">
        <v>206803</v>
      </c>
      <c r="F46" s="42">
        <v>320272</v>
      </c>
      <c r="G46" s="6"/>
      <c r="H46" s="6"/>
      <c r="I46" s="6"/>
      <c r="J46" s="6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</row>
    <row r="47" spans="1:30" ht="14.5">
      <c r="A47" s="6"/>
      <c r="B47" s="31" t="s">
        <v>169</v>
      </c>
      <c r="C47" s="42">
        <v>2699</v>
      </c>
      <c r="D47" s="42">
        <v>6310</v>
      </c>
      <c r="E47" s="42">
        <v>9812</v>
      </c>
      <c r="F47" s="42">
        <v>15059</v>
      </c>
      <c r="G47" s="6"/>
      <c r="H47" s="6"/>
      <c r="I47" s="6"/>
      <c r="J47" s="6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</row>
    <row r="48" spans="1:30" ht="14.5">
      <c r="A48" s="6"/>
      <c r="B48" s="41" t="s">
        <v>170</v>
      </c>
      <c r="C48" s="42">
        <v>10631</v>
      </c>
      <c r="D48" s="42">
        <v>18047</v>
      </c>
      <c r="E48" s="42">
        <v>32163</v>
      </c>
      <c r="F48" s="42">
        <v>43019</v>
      </c>
      <c r="G48" s="6"/>
      <c r="H48" s="6"/>
      <c r="I48" s="6"/>
      <c r="J48" s="6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</row>
    <row r="49" spans="1:30" ht="14.5">
      <c r="A49" s="6"/>
      <c r="B49" s="31" t="s">
        <v>171</v>
      </c>
      <c r="C49" s="42">
        <v>8459</v>
      </c>
      <c r="D49" s="42">
        <v>8463</v>
      </c>
      <c r="E49" s="42">
        <v>7469</v>
      </c>
      <c r="F49" s="42">
        <v>32366</v>
      </c>
      <c r="G49" s="6"/>
      <c r="H49" s="6"/>
      <c r="I49" s="6"/>
      <c r="J49" s="6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</row>
    <row r="50" spans="1:30" ht="14.5">
      <c r="A50" s="6"/>
      <c r="B50" s="31" t="s">
        <v>172</v>
      </c>
      <c r="C50" s="42">
        <v>1250</v>
      </c>
      <c r="D50" s="42">
        <v>0</v>
      </c>
      <c r="E50" s="42">
        <v>999</v>
      </c>
      <c r="F50" s="42">
        <v>1000</v>
      </c>
      <c r="G50" s="6"/>
      <c r="H50" s="6"/>
      <c r="I50" s="6"/>
      <c r="J50" s="6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</row>
    <row r="51" spans="1:30" ht="14.5">
      <c r="A51" s="6"/>
      <c r="B51" s="41" t="s">
        <v>173</v>
      </c>
      <c r="C51" s="42">
        <v>22750</v>
      </c>
      <c r="D51" s="42">
        <v>32274</v>
      </c>
      <c r="E51" s="42">
        <v>49510</v>
      </c>
      <c r="F51" s="42">
        <v>91288</v>
      </c>
      <c r="G51" s="6"/>
      <c r="H51" s="6"/>
      <c r="I51" s="6"/>
      <c r="J51" s="6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</row>
    <row r="52" spans="1:30" ht="14.5">
      <c r="A52" s="6"/>
      <c r="B52" s="31" t="s">
        <v>174</v>
      </c>
      <c r="C52" s="42">
        <f>C46-C51</f>
        <v>42978</v>
      </c>
      <c r="D52" s="42">
        <f>D46-D51</f>
        <v>79327</v>
      </c>
      <c r="E52" s="42">
        <f>E46-E51</f>
        <v>157293</v>
      </c>
      <c r="F52" s="42">
        <v>228984</v>
      </c>
      <c r="G52" s="6"/>
      <c r="H52" s="6"/>
      <c r="I52" s="6"/>
      <c r="J52" s="6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</row>
    <row r="53" spans="1:30" ht="14.5">
      <c r="A53" s="6"/>
      <c r="B53" s="40" t="s">
        <v>175</v>
      </c>
      <c r="C53" s="8"/>
      <c r="D53" s="8"/>
      <c r="E53" s="8"/>
      <c r="F53" s="8"/>
      <c r="G53" s="8"/>
      <c r="H53" s="8"/>
      <c r="I53" s="8"/>
      <c r="J53" s="8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</row>
    <row r="54" spans="1:30" ht="14.5">
      <c r="A54" s="6"/>
      <c r="B54" s="31" t="s">
        <v>176</v>
      </c>
      <c r="C54" s="42">
        <v>24940</v>
      </c>
      <c r="D54" s="42">
        <v>24804</v>
      </c>
      <c r="E54" s="42">
        <v>24514</v>
      </c>
      <c r="F54" s="42">
        <v>24338</v>
      </c>
      <c r="G54" s="6"/>
      <c r="H54" s="6"/>
      <c r="I54" s="6"/>
      <c r="J54" s="6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</row>
    <row r="55" spans="1:30" ht="14.5">
      <c r="A55" s="6"/>
      <c r="B55" s="31" t="s">
        <v>58</v>
      </c>
      <c r="C55" s="110">
        <f>C17/C54</f>
        <v>1.1932638331996792</v>
      </c>
      <c r="D55" s="110">
        <f>D17/D54</f>
        <v>2.9382357684244478</v>
      </c>
      <c r="E55" s="110">
        <f>E17/E54</f>
        <v>4.8978950803622423</v>
      </c>
      <c r="F55" s="110">
        <v>4.8499999999999996</v>
      </c>
      <c r="G55" s="6"/>
      <c r="H55" s="6"/>
      <c r="I55" s="6"/>
      <c r="J55" s="6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</row>
    <row r="62" spans="1:30">
      <c r="C62" s="72"/>
      <c r="D62" s="72"/>
      <c r="E62" s="72"/>
    </row>
  </sheetData>
  <pageMargins left="0.74803149606299213" right="0.74803149606299213" top="0.98425196850393704" bottom="0.98425196850393704" header="0.51181102362204722" footer="0.51181102362204722"/>
  <pageSetup paperSize="9" orientation="landscape" horizontalDpi="300" verticalDpi="300" r:id="rId1"/>
  <headerFooter>
    <oddHeader>&amp;R&amp;"Arial,Bold"BASE CASE</oddHeader>
    <oddFooter>&amp;R&amp;"Times New Roman,Regular"&amp;10Research by T Ghiyas Kausara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AD47"/>
  </sheetPr>
  <dimension ref="A1:AD27"/>
  <sheetViews>
    <sheetView showGridLines="0" view="pageBreakPreview" zoomScale="60" zoomScaleNormal="100" workbookViewId="0">
      <selection activeCell="E16" sqref="E15:E16"/>
    </sheetView>
  </sheetViews>
  <sheetFormatPr defaultColWidth="8.58203125" defaultRowHeight="14"/>
  <cols>
    <col min="1" max="1" width="2.5" customWidth="1"/>
    <col min="2" max="2" width="24.83203125" customWidth="1"/>
    <col min="3" max="10" width="10.83203125" customWidth="1"/>
  </cols>
  <sheetData>
    <row r="1" spans="1:30" ht="14.5">
      <c r="A1" s="1"/>
      <c r="B1" s="1"/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21.75" customHeight="1">
      <c r="A2" s="1"/>
      <c r="B2" s="3" t="s">
        <v>177</v>
      </c>
      <c r="C2" s="1"/>
      <c r="D2" s="1"/>
      <c r="E2" s="1"/>
      <c r="F2" s="1"/>
      <c r="G2" s="1"/>
      <c r="H2" s="1"/>
      <c r="I2" s="1"/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5">
      <c r="A3" s="1"/>
      <c r="B3" s="5" t="s">
        <v>178</v>
      </c>
      <c r="C3" s="1"/>
      <c r="D3" s="1"/>
      <c r="E3" s="1"/>
      <c r="F3" s="1"/>
      <c r="G3" s="1"/>
      <c r="H3" s="1"/>
      <c r="I3" s="1"/>
      <c r="J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5">
      <c r="A4" s="6"/>
      <c r="B4" s="6"/>
      <c r="C4" s="6"/>
      <c r="D4" s="6"/>
      <c r="E4" s="6"/>
      <c r="F4" s="6"/>
      <c r="G4" s="6"/>
      <c r="H4" s="6"/>
      <c r="I4" s="6"/>
      <c r="J4" s="6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ht="14.5">
      <c r="A5" s="6"/>
      <c r="B5" s="38" t="s">
        <v>179</v>
      </c>
      <c r="C5" s="30" t="s">
        <v>64</v>
      </c>
      <c r="D5" s="30" t="s">
        <v>65</v>
      </c>
      <c r="E5" s="104" t="s">
        <v>350</v>
      </c>
      <c r="F5" s="30" t="s">
        <v>66</v>
      </c>
      <c r="G5" s="30" t="s">
        <v>67</v>
      </c>
      <c r="H5" s="30" t="s">
        <v>68</v>
      </c>
      <c r="I5" s="30" t="s">
        <v>69</v>
      </c>
      <c r="J5" s="104" t="s">
        <v>349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1:30" ht="14.5">
      <c r="A6" s="6"/>
      <c r="B6" s="6"/>
      <c r="C6" s="6"/>
      <c r="D6" s="6"/>
      <c r="E6" s="6"/>
      <c r="F6" s="6"/>
      <c r="G6" s="6"/>
      <c r="H6" s="6"/>
      <c r="I6" s="6"/>
      <c r="J6" s="6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ht="14.5">
      <c r="A7" s="6"/>
      <c r="B7" s="40" t="s">
        <v>427</v>
      </c>
      <c r="C7" s="8"/>
      <c r="D7" s="8"/>
      <c r="E7" s="8"/>
      <c r="F7" s="8"/>
      <c r="G7" s="8"/>
      <c r="H7" s="8"/>
      <c r="I7" s="8"/>
      <c r="J7" s="8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ht="14.5">
      <c r="A8" s="6"/>
      <c r="B8" s="45" t="s">
        <v>180</v>
      </c>
      <c r="C8" s="6"/>
      <c r="D8" s="6"/>
      <c r="E8" s="6"/>
      <c r="F8" s="46">
        <f>DC_Compute_Growth</f>
        <v>0.95</v>
      </c>
      <c r="G8" s="46">
        <f t="shared" ref="G8:J13" si="0">F8*Growth_Decay</f>
        <v>0.61749999999999994</v>
      </c>
      <c r="H8" s="46">
        <f t="shared" si="0"/>
        <v>0.40137499999999998</v>
      </c>
      <c r="I8" s="46">
        <f t="shared" si="0"/>
        <v>0.26089374999999998</v>
      </c>
      <c r="J8" s="46">
        <f t="shared" si="0"/>
        <v>0.1695809375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</row>
    <row r="9" spans="1:30" ht="14.5">
      <c r="A9" s="6"/>
      <c r="B9" s="45" t="s">
        <v>181</v>
      </c>
      <c r="C9" s="6"/>
      <c r="D9" s="6"/>
      <c r="E9" s="6"/>
      <c r="F9" s="46">
        <f>DC_Network_Growth</f>
        <v>0.95</v>
      </c>
      <c r="G9" s="46">
        <f t="shared" si="0"/>
        <v>0.61749999999999994</v>
      </c>
      <c r="H9" s="46">
        <f t="shared" si="0"/>
        <v>0.40137499999999998</v>
      </c>
      <c r="I9" s="46">
        <f t="shared" si="0"/>
        <v>0.26089374999999998</v>
      </c>
      <c r="J9" s="46">
        <f t="shared" si="0"/>
        <v>0.1695809375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ht="14.5">
      <c r="A10" s="6"/>
      <c r="B10" s="45" t="s">
        <v>182</v>
      </c>
      <c r="C10" s="6"/>
      <c r="D10" s="6"/>
      <c r="E10" s="6"/>
      <c r="F10" s="46">
        <f>Gaming_Growth</f>
        <v>0.15</v>
      </c>
      <c r="G10" s="46">
        <f t="shared" si="0"/>
        <v>9.7500000000000003E-2</v>
      </c>
      <c r="H10" s="46">
        <f t="shared" si="0"/>
        <v>6.3375000000000001E-2</v>
      </c>
      <c r="I10" s="46">
        <f t="shared" si="0"/>
        <v>4.1193750000000001E-2</v>
      </c>
      <c r="J10" s="46">
        <f t="shared" si="0"/>
        <v>2.6775937500000003E-2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ht="14.5">
      <c r="A11" s="6"/>
      <c r="B11" s="45" t="s">
        <v>183</v>
      </c>
      <c r="C11" s="6"/>
      <c r="D11" s="6"/>
      <c r="E11" s="6"/>
      <c r="F11" s="46">
        <f>ProViz_Growth</f>
        <v>0.6</v>
      </c>
      <c r="G11" s="46">
        <f t="shared" si="0"/>
        <v>0.39</v>
      </c>
      <c r="H11" s="46">
        <f t="shared" si="0"/>
        <v>0.2535</v>
      </c>
      <c r="I11" s="46">
        <f t="shared" si="0"/>
        <v>0.164775</v>
      </c>
      <c r="J11" s="46">
        <f t="shared" si="0"/>
        <v>0.10710375000000001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</row>
    <row r="12" spans="1:30" ht="14.5">
      <c r="A12" s="6"/>
      <c r="B12" s="45" t="s">
        <v>184</v>
      </c>
      <c r="C12" s="6"/>
      <c r="D12" s="6"/>
      <c r="E12" s="6"/>
      <c r="F12" s="46">
        <f>Auto_Growth</f>
        <v>0.3</v>
      </c>
      <c r="G12" s="46">
        <f t="shared" si="0"/>
        <v>0.19500000000000001</v>
      </c>
      <c r="H12" s="46">
        <f t="shared" si="0"/>
        <v>0.12675</v>
      </c>
      <c r="I12" s="46">
        <f t="shared" si="0"/>
        <v>8.2387500000000002E-2</v>
      </c>
      <c r="J12" s="46">
        <f t="shared" si="0"/>
        <v>5.3551875000000006E-2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ht="14.5">
      <c r="A13" s="6"/>
      <c r="B13" s="45" t="s">
        <v>185</v>
      </c>
      <c r="C13" s="6"/>
      <c r="D13" s="6"/>
      <c r="E13" s="6"/>
      <c r="F13" s="46">
        <f>OEM_Growth</f>
        <v>0</v>
      </c>
      <c r="G13" s="46">
        <f t="shared" si="0"/>
        <v>0</v>
      </c>
      <c r="H13" s="46">
        <f t="shared" si="0"/>
        <v>0</v>
      </c>
      <c r="I13" s="46">
        <f t="shared" si="0"/>
        <v>0</v>
      </c>
      <c r="J13" s="46">
        <f t="shared" si="0"/>
        <v>0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ht="14.5">
      <c r="A14" s="6"/>
      <c r="B14" s="6"/>
      <c r="C14" s="6"/>
      <c r="D14" s="6"/>
      <c r="E14" s="6"/>
      <c r="F14" s="6"/>
      <c r="G14" s="6"/>
      <c r="H14" s="6"/>
      <c r="I14" s="6"/>
      <c r="J14" s="6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</row>
    <row r="15" spans="1:30" ht="14.5">
      <c r="A15" s="6"/>
      <c r="B15" s="40" t="s">
        <v>426</v>
      </c>
      <c r="C15" s="8"/>
      <c r="D15" s="8"/>
      <c r="E15" s="8"/>
      <c r="F15" s="8"/>
      <c r="G15" s="8"/>
      <c r="H15" s="8"/>
      <c r="I15" s="8"/>
      <c r="J15" s="8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ht="14.5">
      <c r="A16" s="6"/>
      <c r="B16" s="45" t="s">
        <v>186</v>
      </c>
      <c r="C16" s="43">
        <f>Historical_Data!C20</f>
        <v>38950</v>
      </c>
      <c r="D16" s="43">
        <f>Historical_Data!D20</f>
        <v>102196</v>
      </c>
      <c r="E16" s="43">
        <f>Historical_Data!E20</f>
        <v>162361</v>
      </c>
      <c r="F16" s="47">
        <f t="shared" ref="F16:J17" si="1">E16*(1+F8)</f>
        <v>316603.95</v>
      </c>
      <c r="G16" s="47">
        <f t="shared" si="1"/>
        <v>512106.88912499999</v>
      </c>
      <c r="H16" s="47">
        <f t="shared" si="1"/>
        <v>717653.79174754687</v>
      </c>
      <c r="I16" s="47">
        <f t="shared" si="1"/>
        <v>904885.18067828333</v>
      </c>
      <c r="J16" s="47">
        <f t="shared" si="1"/>
        <v>1058336.4579475634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ht="14.5">
      <c r="A17" s="6"/>
      <c r="B17" s="45" t="s">
        <v>187</v>
      </c>
      <c r="C17" s="43">
        <f>Historical_Data!C21</f>
        <v>8575</v>
      </c>
      <c r="D17" s="43">
        <f>Historical_Data!D21</f>
        <v>12990</v>
      </c>
      <c r="E17" s="43">
        <f>Historical_Data!E21</f>
        <v>31376</v>
      </c>
      <c r="F17" s="47">
        <f t="shared" si="1"/>
        <v>61183.199999999997</v>
      </c>
      <c r="G17" s="47">
        <f t="shared" si="1"/>
        <v>98963.825999999986</v>
      </c>
      <c r="H17" s="47">
        <f t="shared" si="1"/>
        <v>138685.43166074998</v>
      </c>
      <c r="I17" s="47">
        <f t="shared" si="1"/>
        <v>174867.59399709175</v>
      </c>
      <c r="J17" s="47">
        <f t="shared" si="1"/>
        <v>204521.80452548794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</row>
    <row r="18" spans="1:30" ht="14.5">
      <c r="A18" s="6"/>
      <c r="B18" s="41" t="s">
        <v>188</v>
      </c>
      <c r="C18" s="48">
        <f t="shared" ref="C18:J18" si="2">C16+C17</f>
        <v>47525</v>
      </c>
      <c r="D18" s="48">
        <f t="shared" si="2"/>
        <v>115186</v>
      </c>
      <c r="E18" s="48">
        <f t="shared" si="2"/>
        <v>193737</v>
      </c>
      <c r="F18" s="49">
        <f t="shared" si="2"/>
        <v>377787.15</v>
      </c>
      <c r="G18" s="49">
        <f t="shared" si="2"/>
        <v>611070.71512499999</v>
      </c>
      <c r="H18" s="49">
        <f t="shared" si="2"/>
        <v>856339.22340829682</v>
      </c>
      <c r="I18" s="49">
        <f t="shared" si="2"/>
        <v>1079752.7746753751</v>
      </c>
      <c r="J18" s="49">
        <f t="shared" si="2"/>
        <v>1262858.2624730514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</row>
    <row r="19" spans="1:30" ht="14.5">
      <c r="A19" s="6"/>
      <c r="B19" s="45" t="s">
        <v>150</v>
      </c>
      <c r="C19" s="43">
        <f>Historical_Data!C22</f>
        <v>10447</v>
      </c>
      <c r="D19" s="43">
        <f>Historical_Data!D22</f>
        <v>11350</v>
      </c>
      <c r="E19" s="43">
        <f>Historical_Data!E22</f>
        <v>16042</v>
      </c>
      <c r="F19" s="47">
        <f t="shared" ref="F19:J22" si="3">E19*(1+F10)</f>
        <v>18448.3</v>
      </c>
      <c r="G19" s="47">
        <f t="shared" si="3"/>
        <v>20247.009249999999</v>
      </c>
      <c r="H19" s="47">
        <f t="shared" si="3"/>
        <v>21530.163461218748</v>
      </c>
      <c r="I19" s="47">
        <f t="shared" si="3"/>
        <v>22417.071632299325</v>
      </c>
      <c r="J19" s="47">
        <f t="shared" si="3"/>
        <v>23017.309741258796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</row>
    <row r="20" spans="1:30" ht="14.5">
      <c r="A20" s="6"/>
      <c r="B20" s="45" t="s">
        <v>151</v>
      </c>
      <c r="C20" s="43">
        <f>Historical_Data!C23</f>
        <v>1553</v>
      </c>
      <c r="D20" s="43">
        <f>Historical_Data!D23</f>
        <v>1878</v>
      </c>
      <c r="E20" s="43">
        <f>Historical_Data!E23</f>
        <v>3191</v>
      </c>
      <c r="F20" s="47">
        <f t="shared" si="3"/>
        <v>5105.6000000000004</v>
      </c>
      <c r="G20" s="47">
        <f t="shared" si="3"/>
        <v>7096.7840000000015</v>
      </c>
      <c r="H20" s="47">
        <f t="shared" si="3"/>
        <v>8895.818744000002</v>
      </c>
      <c r="I20" s="47">
        <f t="shared" si="3"/>
        <v>10361.627277542604</v>
      </c>
      <c r="J20" s="47">
        <f t="shared" si="3"/>
        <v>11471.396415069708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</row>
    <row r="21" spans="1:30" ht="14.5">
      <c r="A21" s="6"/>
      <c r="B21" s="45" t="s">
        <v>152</v>
      </c>
      <c r="C21" s="43">
        <f>Historical_Data!C24</f>
        <v>1091</v>
      </c>
      <c r="D21" s="43">
        <f>Historical_Data!D24</f>
        <v>1694</v>
      </c>
      <c r="E21" s="43">
        <f>Historical_Data!E24</f>
        <v>2349</v>
      </c>
      <c r="F21" s="47">
        <f t="shared" si="3"/>
        <v>3053.7000000000003</v>
      </c>
      <c r="G21" s="47">
        <f t="shared" si="3"/>
        <v>3649.1715000000004</v>
      </c>
      <c r="H21" s="47">
        <f t="shared" si="3"/>
        <v>4111.7039876250001</v>
      </c>
      <c r="I21" s="47">
        <f t="shared" si="3"/>
        <v>4450.4569999054547</v>
      </c>
      <c r="J21" s="47">
        <f t="shared" si="3"/>
        <v>4688.787316857266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ht="14.5">
      <c r="A22" s="6"/>
      <c r="B22" s="45" t="s">
        <v>153</v>
      </c>
      <c r="C22" s="43">
        <f>Historical_Data!C25</f>
        <v>306</v>
      </c>
      <c r="D22" s="43">
        <f>Historical_Data!D25</f>
        <v>389</v>
      </c>
      <c r="E22" s="43">
        <f>Historical_Data!E25</f>
        <v>619</v>
      </c>
      <c r="F22" s="47">
        <f t="shared" si="3"/>
        <v>619</v>
      </c>
      <c r="G22" s="47">
        <f t="shared" si="3"/>
        <v>619</v>
      </c>
      <c r="H22" s="47">
        <f t="shared" si="3"/>
        <v>619</v>
      </c>
      <c r="I22" s="47">
        <f t="shared" si="3"/>
        <v>619</v>
      </c>
      <c r="J22" s="47">
        <f t="shared" si="3"/>
        <v>619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ht="14.5">
      <c r="A23" s="6"/>
      <c r="B23" s="41" t="s">
        <v>189</v>
      </c>
      <c r="C23" s="50">
        <f t="shared" ref="C23:J23" si="4">C18+C19+C20+C21+C22</f>
        <v>60922</v>
      </c>
      <c r="D23" s="50">
        <f t="shared" si="4"/>
        <v>130497</v>
      </c>
      <c r="E23" s="50">
        <f t="shared" si="4"/>
        <v>215938</v>
      </c>
      <c r="F23" s="50">
        <f t="shared" si="4"/>
        <v>405013.75</v>
      </c>
      <c r="G23" s="50">
        <f t="shared" si="4"/>
        <v>642682.67987500003</v>
      </c>
      <c r="H23" s="50">
        <f t="shared" si="4"/>
        <v>891495.90960114053</v>
      </c>
      <c r="I23" s="50">
        <f t="shared" si="4"/>
        <v>1117600.9305851224</v>
      </c>
      <c r="J23" s="50">
        <f t="shared" si="4"/>
        <v>1302654.7559462374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</row>
    <row r="24" spans="1:30" ht="14.5">
      <c r="A24" s="6"/>
      <c r="B24" s="6"/>
      <c r="C24" s="6"/>
      <c r="D24" s="6"/>
      <c r="E24" s="6"/>
      <c r="F24" s="6"/>
      <c r="G24" s="6"/>
      <c r="H24" s="6"/>
      <c r="I24" s="6"/>
      <c r="J24" s="6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ht="14.5">
      <c r="A25" s="6"/>
      <c r="B25" s="40" t="s">
        <v>190</v>
      </c>
      <c r="C25" s="8"/>
      <c r="D25" s="8"/>
      <c r="E25" s="8"/>
      <c r="F25" s="8"/>
      <c r="G25" s="8"/>
      <c r="H25" s="8"/>
      <c r="I25" s="8"/>
      <c r="J25" s="8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ht="14.5">
      <c r="A26" s="6"/>
      <c r="B26" s="45" t="s">
        <v>191</v>
      </c>
      <c r="C26" s="6"/>
      <c r="D26" s="51">
        <f t="shared" ref="D26:J26" si="5">D23/C23-1</f>
        <v>1.1420340763599355</v>
      </c>
      <c r="E26" s="51">
        <f t="shared" si="5"/>
        <v>0.65473535790094783</v>
      </c>
      <c r="F26" s="46">
        <f t="shared" si="5"/>
        <v>0.87560202465522519</v>
      </c>
      <c r="G26" s="46">
        <f t="shared" si="5"/>
        <v>0.58681694109150628</v>
      </c>
      <c r="H26" s="46">
        <f t="shared" si="5"/>
        <v>0.38714786864107498</v>
      </c>
      <c r="I26" s="46">
        <f t="shared" si="5"/>
        <v>0.25362429434493117</v>
      </c>
      <c r="J26" s="46">
        <f t="shared" si="5"/>
        <v>0.16558130929993919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</row>
    <row r="27" spans="1:30" ht="14.5">
      <c r="A27" s="6"/>
      <c r="B27" s="45" t="s">
        <v>192</v>
      </c>
      <c r="C27" s="51">
        <f t="shared" ref="C27:J27" si="6">C18/C23</f>
        <v>0.78009586028035849</v>
      </c>
      <c r="D27" s="51">
        <f t="shared" si="6"/>
        <v>0.88267163229806045</v>
      </c>
      <c r="E27" s="51">
        <f t="shared" si="6"/>
        <v>0.89718808176421005</v>
      </c>
      <c r="F27" s="46">
        <f t="shared" si="6"/>
        <v>0.93277610945307421</v>
      </c>
      <c r="G27" s="46">
        <f t="shared" si="6"/>
        <v>0.95081248376547434</v>
      </c>
      <c r="H27" s="46">
        <f t="shared" si="6"/>
        <v>0.96056438867052907</v>
      </c>
      <c r="I27" s="46">
        <f t="shared" si="6"/>
        <v>0.96613446278186987</v>
      </c>
      <c r="J27" s="46">
        <f t="shared" si="6"/>
        <v>0.96944970009012243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</sheetData>
  <pageMargins left="0.74803149606299213" right="0.74803149606299213" top="0.98425196850393704" bottom="0.98425196850393704" header="0.51181102362204722" footer="0.51181102362204722"/>
  <pageSetup paperSize="9" orientation="landscape" horizontalDpi="300" verticalDpi="300" r:id="rId1"/>
  <headerFooter>
    <oddHeader>&amp;R&amp;"Arial,Bold"BASE CASE</oddHeader>
    <oddFooter>&amp;RResearch by T Ghiyas Kausara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A5A5A5"/>
  </sheetPr>
  <dimension ref="A1:AD33"/>
  <sheetViews>
    <sheetView showGridLines="0" view="pageBreakPreview" zoomScale="60" zoomScaleNormal="115" workbookViewId="0">
      <selection activeCell="E7" sqref="E7"/>
    </sheetView>
  </sheetViews>
  <sheetFormatPr defaultColWidth="8.58203125" defaultRowHeight="14"/>
  <cols>
    <col min="1" max="1" width="2.5" customWidth="1"/>
    <col min="2" max="2" width="27.75" customWidth="1"/>
    <col min="3" max="10" width="10.33203125" customWidth="1"/>
  </cols>
  <sheetData>
    <row r="1" spans="1:30" ht="14.5">
      <c r="A1" s="1"/>
      <c r="B1" s="1"/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21.75" customHeight="1">
      <c r="A2" s="1"/>
      <c r="B2" s="3" t="s">
        <v>193</v>
      </c>
      <c r="C2" s="1"/>
      <c r="D2" s="1"/>
      <c r="E2" s="1"/>
      <c r="F2" s="1"/>
      <c r="G2" s="1"/>
      <c r="H2" s="1"/>
      <c r="I2" s="1"/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5">
      <c r="A3" s="1"/>
      <c r="B3" s="5" t="s">
        <v>194</v>
      </c>
      <c r="C3" s="1"/>
      <c r="D3" s="1"/>
      <c r="E3" s="1"/>
      <c r="F3" s="1"/>
      <c r="G3" s="1"/>
      <c r="H3" s="1"/>
      <c r="I3" s="1"/>
      <c r="J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5">
      <c r="A4" s="6"/>
      <c r="B4" s="6"/>
      <c r="C4" s="6"/>
      <c r="D4" s="6"/>
      <c r="E4" s="6"/>
      <c r="F4" s="6"/>
      <c r="G4" s="6"/>
      <c r="H4" s="6"/>
      <c r="I4" s="6"/>
      <c r="J4" s="6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ht="14.5">
      <c r="A5" s="6"/>
      <c r="B5" s="38" t="s">
        <v>179</v>
      </c>
      <c r="C5" s="30" t="s">
        <v>64</v>
      </c>
      <c r="D5" s="30" t="s">
        <v>65</v>
      </c>
      <c r="E5" s="104" t="s">
        <v>347</v>
      </c>
      <c r="F5" s="30" t="s">
        <v>66</v>
      </c>
      <c r="G5" s="30" t="s">
        <v>67</v>
      </c>
      <c r="H5" s="30" t="s">
        <v>68</v>
      </c>
      <c r="I5" s="30" t="s">
        <v>69</v>
      </c>
      <c r="J5" s="104" t="s">
        <v>349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1:30" ht="14.5">
      <c r="A6" s="6"/>
      <c r="B6" s="6"/>
      <c r="C6" s="6"/>
      <c r="D6" s="6"/>
      <c r="E6" s="6"/>
      <c r="F6" s="6"/>
      <c r="G6" s="6"/>
      <c r="H6" s="6"/>
      <c r="I6" s="6"/>
      <c r="J6" s="6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ht="14.5">
      <c r="A7" s="6"/>
      <c r="B7" s="41" t="s">
        <v>51</v>
      </c>
      <c r="C7" s="43">
        <f>Revenue_Build!C23</f>
        <v>60922</v>
      </c>
      <c r="D7" s="43">
        <f>Revenue_Build!D23</f>
        <v>130497</v>
      </c>
      <c r="E7" s="43">
        <f>Revenue_Build!E23</f>
        <v>215938</v>
      </c>
      <c r="F7" s="47">
        <f>Revenue_Build!F23</f>
        <v>405013.75</v>
      </c>
      <c r="G7" s="47">
        <f>Revenue_Build!G23</f>
        <v>642682.67987500003</v>
      </c>
      <c r="H7" s="47">
        <f>Revenue_Build!H23</f>
        <v>891495.90960114053</v>
      </c>
      <c r="I7" s="47">
        <f>Revenue_Build!I23</f>
        <v>1117600.9305851224</v>
      </c>
      <c r="J7" s="47">
        <f>Revenue_Build!J23</f>
        <v>1302654.7559462374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ht="14.5">
      <c r="A8" s="6"/>
      <c r="B8" s="45" t="s">
        <v>195</v>
      </c>
      <c r="C8" s="51">
        <f>Historical_Data!C10/Historical_Data!C8</f>
        <v>0.72717573290436954</v>
      </c>
      <c r="D8" s="51">
        <f>Historical_Data!D10/Historical_Data!D8</f>
        <v>0.74988697058169917</v>
      </c>
      <c r="E8" s="51">
        <f>Historical_Data!E10/Historical_Data!E8</f>
        <v>0.71068084357547079</v>
      </c>
      <c r="F8" s="46">
        <f>Gross_Margin_FY26</f>
        <v>0.75</v>
      </c>
      <c r="G8" s="46">
        <f>F8+(Gross_Margin_Term-Gross_Margin_FY26)/4</f>
        <v>0.73750000000000004</v>
      </c>
      <c r="H8" s="46">
        <f>G8+(Gross_Margin_Term-Gross_Margin_FY26)/4</f>
        <v>0.72500000000000009</v>
      </c>
      <c r="I8" s="46">
        <f>H8+(Gross_Margin_Term-Gross_Margin_FY26)/4</f>
        <v>0.71250000000000013</v>
      </c>
      <c r="J8" s="46">
        <f>I8+(Gross_Margin_Term-Gross_Margin_FY26)/4</f>
        <v>0.70000000000000018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</row>
    <row r="9" spans="1:30" ht="14.5">
      <c r="A9" s="6"/>
      <c r="B9" s="45" t="s">
        <v>138</v>
      </c>
      <c r="C9" s="43">
        <f>Historical_Data!C9</f>
        <v>16621</v>
      </c>
      <c r="D9" s="43">
        <f>Historical_Data!D9</f>
        <v>32639</v>
      </c>
      <c r="E9" s="43">
        <f>Historical_Data!E9</f>
        <v>62475</v>
      </c>
      <c r="F9" s="47">
        <f>F7*(1-F8)</f>
        <v>101253.4375</v>
      </c>
      <c r="G9" s="47">
        <f>G7*(1-G8)</f>
        <v>168704.20346718747</v>
      </c>
      <c r="H9" s="47">
        <f>H7*(1-H8)</f>
        <v>245161.37514031355</v>
      </c>
      <c r="I9" s="47">
        <f>I7*(1-I8)</f>
        <v>321310.26754322252</v>
      </c>
      <c r="J9" s="47">
        <f>J7*(1-J8)</f>
        <v>390796.42678387096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ht="14.5">
      <c r="A10" s="6"/>
      <c r="B10" s="41" t="s">
        <v>139</v>
      </c>
      <c r="C10" s="48">
        <f t="shared" ref="C10:J10" si="0">C7-C9</f>
        <v>44301</v>
      </c>
      <c r="D10" s="48">
        <f t="shared" si="0"/>
        <v>97858</v>
      </c>
      <c r="E10" s="48">
        <f t="shared" si="0"/>
        <v>153463</v>
      </c>
      <c r="F10" s="49">
        <f t="shared" si="0"/>
        <v>303760.3125</v>
      </c>
      <c r="G10" s="49">
        <f t="shared" si="0"/>
        <v>473978.47640781256</v>
      </c>
      <c r="H10" s="49">
        <f t="shared" si="0"/>
        <v>646334.53446082701</v>
      </c>
      <c r="I10" s="49">
        <f t="shared" si="0"/>
        <v>796290.66304189991</v>
      </c>
      <c r="J10" s="49">
        <f t="shared" si="0"/>
        <v>911858.32916236646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ht="14.5">
      <c r="A11" s="6"/>
      <c r="B11" s="6"/>
      <c r="C11" s="6"/>
      <c r="D11" s="6"/>
      <c r="E11" s="6"/>
      <c r="F11" s="6"/>
      <c r="G11" s="6"/>
      <c r="H11" s="6"/>
      <c r="I11" s="6"/>
      <c r="J11" s="6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</row>
    <row r="12" spans="1:30" ht="14.5">
      <c r="A12" s="6"/>
      <c r="B12" s="45" t="s">
        <v>196</v>
      </c>
      <c r="C12" s="43">
        <f>Historical_Data!C11</f>
        <v>8675</v>
      </c>
      <c r="D12" s="43">
        <f>Historical_Data!D11</f>
        <v>12914</v>
      </c>
      <c r="E12" s="43">
        <f>Historical_Data!E11</f>
        <v>18497</v>
      </c>
      <c r="F12" s="47">
        <f>F7*RD_Pct</f>
        <v>36451.237499999996</v>
      </c>
      <c r="G12" s="47">
        <f>G7*RD_Pct</f>
        <v>57841.441188750003</v>
      </c>
      <c r="H12" s="47">
        <f>H7*RD_Pct</f>
        <v>80234.631864102645</v>
      </c>
      <c r="I12" s="47">
        <f>I7*RD_Pct</f>
        <v>100584.08375266101</v>
      </c>
      <c r="J12" s="47">
        <f>J7*RD_Pct</f>
        <v>117238.92803516136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ht="14.5">
      <c r="A13" s="6"/>
      <c r="B13" s="45" t="s">
        <v>197</v>
      </c>
      <c r="C13" s="43">
        <f>Historical_Data!C12</f>
        <v>2654</v>
      </c>
      <c r="D13" s="43">
        <f>Historical_Data!D12</f>
        <v>3491</v>
      </c>
      <c r="E13" s="43">
        <f>Historical_Data!E12</f>
        <v>4579</v>
      </c>
      <c r="F13" s="47">
        <f>F7*SGA_Pct</f>
        <v>8100.2750000000005</v>
      </c>
      <c r="G13" s="47">
        <f>G7*SGA_Pct</f>
        <v>12853.653597500001</v>
      </c>
      <c r="H13" s="47">
        <f>H7*SGA_Pct</f>
        <v>17829.918192022811</v>
      </c>
      <c r="I13" s="47">
        <f>I7*SGA_Pct</f>
        <v>22352.01861170245</v>
      </c>
      <c r="J13" s="47">
        <f>J7*SGA_Pct</f>
        <v>26053.095118924746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ht="14.5">
      <c r="A14" s="6"/>
      <c r="B14" s="41" t="s">
        <v>142</v>
      </c>
      <c r="C14" s="48">
        <f>C10-C12-C13</f>
        <v>32972</v>
      </c>
      <c r="D14" s="48">
        <f t="shared" ref="D14:E14" si="1">D10-D12-D13</f>
        <v>81453</v>
      </c>
      <c r="E14" s="48">
        <f t="shared" si="1"/>
        <v>130387</v>
      </c>
      <c r="F14" s="49">
        <f>F10-F12-F13</f>
        <v>259208.80000000002</v>
      </c>
      <c r="G14" s="49">
        <f t="shared" ref="G14:J14" si="2">G10-G12-G13</f>
        <v>403283.38162156258</v>
      </c>
      <c r="H14" s="49">
        <f t="shared" si="2"/>
        <v>548269.98440470151</v>
      </c>
      <c r="I14" s="49">
        <f t="shared" si="2"/>
        <v>673354.56067753641</v>
      </c>
      <c r="J14" s="49">
        <f t="shared" si="2"/>
        <v>768566.30600828037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</row>
    <row r="15" spans="1:30" ht="14.5">
      <c r="A15" s="6"/>
      <c r="B15" s="6"/>
      <c r="C15" s="6"/>
      <c r="D15" s="6"/>
      <c r="E15" s="6"/>
      <c r="F15" s="6"/>
      <c r="G15" s="6"/>
      <c r="H15" s="6"/>
      <c r="I15" s="6"/>
      <c r="J15" s="6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ht="14.5">
      <c r="A16" s="6"/>
      <c r="B16" s="45" t="s">
        <v>198</v>
      </c>
      <c r="C16" s="6"/>
      <c r="D16" s="6"/>
      <c r="E16" s="6"/>
      <c r="F16" s="47">
        <f>Debt_Schedule!F17</f>
        <v>1986.8</v>
      </c>
      <c r="G16" s="47">
        <f>Debt_Schedule!G17</f>
        <v>3726.1265000000003</v>
      </c>
      <c r="H16" s="47">
        <f>Debt_Schedule!H17</f>
        <v>5912.680654849999</v>
      </c>
      <c r="I16" s="47">
        <f>Debt_Schedule!I17</f>
        <v>16151.170114926053</v>
      </c>
      <c r="J16" s="47">
        <f>Debt_Schedule!J17</f>
        <v>30901.200568271888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ht="14.5">
      <c r="A17" s="6"/>
      <c r="B17" s="45" t="s">
        <v>199</v>
      </c>
      <c r="C17" s="6"/>
      <c r="D17" s="6"/>
      <c r="E17" s="6"/>
      <c r="F17" s="47">
        <f>Debt_Schedule!F13</f>
        <v>880.12399999999991</v>
      </c>
      <c r="G17" s="47">
        <f>Debt_Schedule!G13</f>
        <v>1396.1239999999998</v>
      </c>
      <c r="H17" s="47">
        <f>Debt_Schedule!H13</f>
        <v>1293.9989999999998</v>
      </c>
      <c r="I17" s="47">
        <f>Debt_Schedule!I13</f>
        <v>1116.624</v>
      </c>
      <c r="J17" s="47">
        <f>Debt_Schedule!J13</f>
        <v>1009.1239999999999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</row>
    <row r="18" spans="1:30" ht="14.5">
      <c r="A18" s="6"/>
      <c r="B18" s="31" t="s">
        <v>143</v>
      </c>
      <c r="C18" s="52">
        <f>Historical_Data!C14</f>
        <v>846</v>
      </c>
      <c r="D18" s="52">
        <f>Historical_Data!D14</f>
        <v>2573</v>
      </c>
      <c r="E18" s="52">
        <f>Historical_Data!E14</f>
        <v>11063</v>
      </c>
      <c r="F18" s="53">
        <f>F16-F17</f>
        <v>1106.6759999999999</v>
      </c>
      <c r="G18" s="53">
        <f>G16-G17</f>
        <v>2330.0025000000005</v>
      </c>
      <c r="H18" s="53">
        <f>H16-H17</f>
        <v>4618.6816548499992</v>
      </c>
      <c r="I18" s="53">
        <f>I16-I17</f>
        <v>15034.546114926054</v>
      </c>
      <c r="J18" s="53">
        <f>J16-J17</f>
        <v>29892.076568271888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</row>
    <row r="19" spans="1:30" ht="14.5">
      <c r="A19" s="6"/>
      <c r="B19" s="41" t="s">
        <v>144</v>
      </c>
      <c r="C19" s="48">
        <f t="shared" ref="C19:J19" si="3">C14+C18</f>
        <v>33818</v>
      </c>
      <c r="D19" s="48">
        <f t="shared" si="3"/>
        <v>84026</v>
      </c>
      <c r="E19" s="48">
        <f t="shared" si="3"/>
        <v>141450</v>
      </c>
      <c r="F19" s="49">
        <f t="shared" si="3"/>
        <v>260315.47600000002</v>
      </c>
      <c r="G19" s="49">
        <f t="shared" si="3"/>
        <v>405613.38412156259</v>
      </c>
      <c r="H19" s="49">
        <f t="shared" si="3"/>
        <v>552888.66605955153</v>
      </c>
      <c r="I19" s="49">
        <f t="shared" si="3"/>
        <v>688389.10679246252</v>
      </c>
      <c r="J19" s="49">
        <f t="shared" si="3"/>
        <v>798458.38257655222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</row>
    <row r="20" spans="1:30" ht="14.5">
      <c r="A20" s="6"/>
      <c r="B20" s="45" t="s">
        <v>200</v>
      </c>
      <c r="C20" s="43">
        <f>Historical_Data!C16</f>
        <v>4058</v>
      </c>
      <c r="D20" s="43">
        <f>Historical_Data!D16</f>
        <v>11146</v>
      </c>
      <c r="E20" s="43">
        <f>Historical_Data!E16</f>
        <v>21383</v>
      </c>
      <c r="F20" s="47">
        <f>F19*Tax_Rate</f>
        <v>42952.053540000008</v>
      </c>
      <c r="G20" s="47">
        <f>G19*Tax_Rate</f>
        <v>66926.208380057826</v>
      </c>
      <c r="H20" s="47">
        <f>H19*Tax_Rate</f>
        <v>91226.629899826003</v>
      </c>
      <c r="I20" s="47">
        <f>I19*Tax_Rate</f>
        <v>113584.20262075632</v>
      </c>
      <c r="J20" s="47">
        <f>J19*Tax_Rate</f>
        <v>131745.63312513113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</row>
    <row r="21" spans="1:30" ht="14.5">
      <c r="A21" s="6"/>
      <c r="B21" s="41" t="s">
        <v>201</v>
      </c>
      <c r="C21" s="50">
        <f t="shared" ref="C21:J21" si="4">C19-C20</f>
        <v>29760</v>
      </c>
      <c r="D21" s="50">
        <f t="shared" si="4"/>
        <v>72880</v>
      </c>
      <c r="E21" s="50">
        <f t="shared" si="4"/>
        <v>120067</v>
      </c>
      <c r="F21" s="50">
        <f t="shared" si="4"/>
        <v>217363.42246000003</v>
      </c>
      <c r="G21" s="50">
        <f t="shared" si="4"/>
        <v>338687.17574150476</v>
      </c>
      <c r="H21" s="50">
        <f t="shared" si="4"/>
        <v>461662.03615972551</v>
      </c>
      <c r="I21" s="50">
        <f t="shared" si="4"/>
        <v>574804.90417170618</v>
      </c>
      <c r="J21" s="50">
        <f t="shared" si="4"/>
        <v>666712.74945142108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ht="14.5">
      <c r="A22" s="6"/>
      <c r="B22" s="6"/>
      <c r="C22" s="6"/>
      <c r="D22" s="6"/>
      <c r="E22" s="6"/>
      <c r="F22" s="6"/>
      <c r="G22" s="6"/>
      <c r="H22" s="6"/>
      <c r="I22" s="6"/>
      <c r="J22" s="6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ht="14.5">
      <c r="A23" s="6"/>
      <c r="B23" s="40" t="s">
        <v>202</v>
      </c>
      <c r="C23" s="8"/>
      <c r="D23" s="8"/>
      <c r="E23" s="8"/>
      <c r="F23" s="8"/>
      <c r="G23" s="8"/>
      <c r="H23" s="8"/>
      <c r="I23" s="8"/>
      <c r="J23" s="8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</row>
    <row r="24" spans="1:30" ht="14.5">
      <c r="A24" s="6"/>
      <c r="B24" s="45" t="s">
        <v>203</v>
      </c>
      <c r="C24" s="54">
        <f>Historical_Data!C54</f>
        <v>24940</v>
      </c>
      <c r="D24" s="54">
        <f>Historical_Data!D54</f>
        <v>24804</v>
      </c>
      <c r="E24" s="54">
        <f>Historical_Data!E54</f>
        <v>24514</v>
      </c>
      <c r="F24" s="55">
        <f>Balance_Sheet!F40</f>
        <v>24202.972760863457</v>
      </c>
      <c r="G24" s="55">
        <f>Balance_Sheet!G40</f>
        <v>23851.697288705305</v>
      </c>
      <c r="H24" s="55">
        <f>Balance_Sheet!H40</f>
        <v>23808.367599796456</v>
      </c>
      <c r="I24" s="55">
        <f>Balance_Sheet!I40</f>
        <v>23785.527779095537</v>
      </c>
      <c r="J24" s="55">
        <f>Balance_Sheet!J40</f>
        <v>23774.176127882427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ht="14.5">
      <c r="A25" s="6"/>
      <c r="B25" s="45" t="s">
        <v>58</v>
      </c>
      <c r="C25" s="44">
        <f t="shared" ref="C25:J25" si="5">C21/C24</f>
        <v>1.1932638331996792</v>
      </c>
      <c r="D25" s="44">
        <f t="shared" si="5"/>
        <v>2.9382357684244478</v>
      </c>
      <c r="E25" s="44">
        <f t="shared" si="5"/>
        <v>4.8978950803622423</v>
      </c>
      <c r="F25" s="56">
        <f t="shared" si="5"/>
        <v>8.980856385190819</v>
      </c>
      <c r="G25" s="56">
        <f t="shared" si="5"/>
        <v>14.199709632483309</v>
      </c>
      <c r="H25" s="56">
        <f t="shared" si="5"/>
        <v>19.390747149068396</v>
      </c>
      <c r="I25" s="56">
        <f t="shared" si="5"/>
        <v>24.166161436908993</v>
      </c>
      <c r="J25" s="56">
        <f t="shared" si="5"/>
        <v>28.043569033271286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ht="14.5">
      <c r="A26" s="6"/>
      <c r="B26" s="45" t="s">
        <v>204</v>
      </c>
      <c r="C26" s="51">
        <f t="shared" ref="C26:J26" si="6">C14/C7</f>
        <v>0.54121663766783756</v>
      </c>
      <c r="D26" s="51">
        <f t="shared" si="6"/>
        <v>0.62417526839697468</v>
      </c>
      <c r="E26" s="51">
        <f t="shared" si="6"/>
        <v>0.60381683631412719</v>
      </c>
      <c r="F26" s="46">
        <f t="shared" si="6"/>
        <v>0.64</v>
      </c>
      <c r="G26" s="46">
        <f t="shared" si="6"/>
        <v>0.62750000000000006</v>
      </c>
      <c r="H26" s="46">
        <f t="shared" si="6"/>
        <v>0.6150000000000001</v>
      </c>
      <c r="I26" s="46">
        <f t="shared" si="6"/>
        <v>0.60250000000000015</v>
      </c>
      <c r="J26" s="46">
        <f t="shared" si="6"/>
        <v>0.5900000000000003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</row>
    <row r="27" spans="1:30" ht="14.5">
      <c r="A27" s="6"/>
      <c r="B27" s="45" t="s">
        <v>205</v>
      </c>
      <c r="C27" s="51">
        <f t="shared" ref="C27:J27" si="7">C21/C7</f>
        <v>0.4884934834706674</v>
      </c>
      <c r="D27" s="51">
        <f t="shared" si="7"/>
        <v>0.55848027157712443</v>
      </c>
      <c r="E27" s="51">
        <f t="shared" si="7"/>
        <v>0.55602534060702613</v>
      </c>
      <c r="F27" s="46">
        <f t="shared" si="7"/>
        <v>0.53668158787201681</v>
      </c>
      <c r="G27" s="46">
        <f t="shared" si="7"/>
        <v>0.526989735910385</v>
      </c>
      <c r="H27" s="46">
        <f t="shared" si="7"/>
        <v>0.51785098640135685</v>
      </c>
      <c r="I27" s="46">
        <f t="shared" si="7"/>
        <v>0.51432035214105076</v>
      </c>
      <c r="J27" s="46">
        <f t="shared" si="7"/>
        <v>0.51181078210329534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  <row r="28" spans="1:30" ht="14.5">
      <c r="A28" s="6"/>
      <c r="B28" s="6"/>
      <c r="C28" s="6"/>
      <c r="D28" s="6"/>
      <c r="E28" s="6"/>
      <c r="F28" s="6"/>
      <c r="G28" s="6"/>
      <c r="H28" s="6"/>
      <c r="I28" s="6"/>
      <c r="J28" s="6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</row>
    <row r="29" spans="1:30" ht="14.5">
      <c r="A29" s="6"/>
      <c r="B29" s="40" t="s">
        <v>428</v>
      </c>
      <c r="C29" s="8"/>
      <c r="D29" s="8"/>
      <c r="E29" s="8"/>
      <c r="F29" s="8"/>
      <c r="G29" s="8"/>
      <c r="H29" s="8"/>
      <c r="I29" s="8"/>
      <c r="J29" s="8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</row>
    <row r="30" spans="1:30" ht="14.5">
      <c r="A30" s="6"/>
      <c r="B30" s="45" t="s">
        <v>156</v>
      </c>
      <c r="C30" s="43">
        <f>Historical_Data!C28</f>
        <v>3549</v>
      </c>
      <c r="D30" s="43">
        <f>Historical_Data!D28</f>
        <v>4737</v>
      </c>
      <c r="E30" s="43">
        <f>Historical_Data!E28</f>
        <v>6386</v>
      </c>
      <c r="F30" s="47">
        <f>F7*SBC_Pct</f>
        <v>9112.8093749999989</v>
      </c>
      <c r="G30" s="47">
        <f>G7*SBC_Pct</f>
        <v>14460.360297187501</v>
      </c>
      <c r="H30" s="47">
        <f>H7*SBC_Pct</f>
        <v>20058.657966025661</v>
      </c>
      <c r="I30" s="47">
        <f>I7*SBC_Pct</f>
        <v>25146.020938165253</v>
      </c>
      <c r="J30" s="47">
        <f>J7*SBC_Pct</f>
        <v>29309.732008790339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</row>
    <row r="31" spans="1:30" ht="14.5">
      <c r="A31" s="6"/>
      <c r="B31" s="57" t="s">
        <v>206</v>
      </c>
      <c r="C31" s="48">
        <f t="shared" ref="C31:J31" si="8">C14+C30</f>
        <v>36521</v>
      </c>
      <c r="D31" s="48">
        <f t="shared" si="8"/>
        <v>86190</v>
      </c>
      <c r="E31" s="48">
        <f t="shared" si="8"/>
        <v>136773</v>
      </c>
      <c r="F31" s="49">
        <f t="shared" si="8"/>
        <v>268321.609375</v>
      </c>
      <c r="G31" s="49">
        <f t="shared" si="8"/>
        <v>417743.74191875011</v>
      </c>
      <c r="H31" s="49">
        <f t="shared" si="8"/>
        <v>568328.64237072715</v>
      </c>
      <c r="I31" s="49">
        <f t="shared" si="8"/>
        <v>698500.58161570167</v>
      </c>
      <c r="J31" s="49">
        <f t="shared" si="8"/>
        <v>797876.03801707074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</row>
    <row r="32" spans="1:30" ht="14.5">
      <c r="A32" s="6"/>
      <c r="B32" s="45" t="s">
        <v>207</v>
      </c>
      <c r="C32" s="51">
        <f t="shared" ref="C32:J32" si="9">C31/C7</f>
        <v>0.59947145530350288</v>
      </c>
      <c r="D32" s="51">
        <f t="shared" si="9"/>
        <v>0.66047495344720564</v>
      </c>
      <c r="E32" s="51">
        <f t="shared" si="9"/>
        <v>0.63339013976233915</v>
      </c>
      <c r="F32" s="46">
        <f t="shared" si="9"/>
        <v>0.66249999999999998</v>
      </c>
      <c r="G32" s="46">
        <f t="shared" si="9"/>
        <v>0.65000000000000013</v>
      </c>
      <c r="H32" s="46">
        <f t="shared" si="9"/>
        <v>0.63750000000000007</v>
      </c>
      <c r="I32" s="46">
        <f t="shared" si="9"/>
        <v>0.62500000000000011</v>
      </c>
      <c r="J32" s="46">
        <f t="shared" si="9"/>
        <v>0.61250000000000027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</row>
    <row r="33" spans="1:30" ht="14.5">
      <c r="A33" s="6"/>
      <c r="B33" s="57" t="s">
        <v>208</v>
      </c>
      <c r="C33" s="52">
        <f>C14+Historical_Data!C27</f>
        <v>34480</v>
      </c>
      <c r="D33" s="52">
        <f>D14+Historical_Data!D27</f>
        <v>83317</v>
      </c>
      <c r="E33" s="52">
        <f>E14+Historical_Data!E27</f>
        <v>133230</v>
      </c>
      <c r="F33" s="49">
        <f>F14+Cash_Flow!F9</f>
        <v>264969.17218749999</v>
      </c>
      <c r="G33" s="49">
        <f>G14+Cash_Flow!G9</f>
        <v>412528.02980028134</v>
      </c>
      <c r="H33" s="49">
        <f>H14+Cash_Flow!H9</f>
        <v>562333.44331561844</v>
      </c>
      <c r="I33" s="49">
        <f>I14+Cash_Flow!I9</f>
        <v>693043.56738061027</v>
      </c>
      <c r="J33" s="49">
        <f>J14+Cash_Flow!J9</f>
        <v>794070.50271956809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</row>
  </sheetData>
  <pageMargins left="0.74803149606299213" right="0.74803149606299213" top="0.98425196850393704" bottom="0.98425196850393704" header="0.51181102362204722" footer="0.51181102362204722"/>
  <pageSetup paperSize="9" scale="93" orientation="landscape" horizontalDpi="300" verticalDpi="300" r:id="rId1"/>
  <headerFooter>
    <oddHeader>&amp;RBASE CASE</oddHeader>
    <oddFooter>&amp;RResearch by T Ghiyas Kausara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EACFA-8F10-4A81-BEA1-B94EFBA1997F}">
  <sheetPr>
    <tabColor rgb="FFED7D31"/>
  </sheetPr>
  <dimension ref="A1:AD19"/>
  <sheetViews>
    <sheetView showGridLines="0" view="pageBreakPreview" zoomScale="60" zoomScaleNormal="70" workbookViewId="0">
      <selection activeCell="I7" sqref="I7"/>
    </sheetView>
  </sheetViews>
  <sheetFormatPr defaultColWidth="8.58203125" defaultRowHeight="14"/>
  <cols>
    <col min="1" max="1" width="2.5" style="125" customWidth="1"/>
    <col min="2" max="2" width="29.9140625" style="125" customWidth="1"/>
    <col min="3" max="10" width="10.58203125" style="125" customWidth="1"/>
    <col min="11" max="16384" width="8.58203125" style="125"/>
  </cols>
  <sheetData>
    <row r="1" spans="1:30" ht="14.5">
      <c r="A1" s="123"/>
      <c r="B1" s="123"/>
      <c r="C1" s="123"/>
      <c r="D1" s="123"/>
      <c r="E1" s="123"/>
      <c r="F1" s="123"/>
      <c r="G1" s="123"/>
      <c r="H1" s="123"/>
      <c r="I1" s="123"/>
      <c r="J1" s="123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</row>
    <row r="2" spans="1:30" ht="21.75" customHeight="1">
      <c r="A2" s="123"/>
      <c r="B2" s="126" t="s">
        <v>209</v>
      </c>
      <c r="C2" s="123"/>
      <c r="D2" s="123"/>
      <c r="E2" s="123"/>
      <c r="F2" s="123"/>
      <c r="G2" s="123"/>
      <c r="H2" s="123"/>
      <c r="I2" s="123"/>
      <c r="J2" s="123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</row>
    <row r="3" spans="1:30" ht="14.5">
      <c r="A3" s="123"/>
      <c r="B3" s="127" t="s">
        <v>352</v>
      </c>
      <c r="C3" s="123"/>
      <c r="D3" s="123"/>
      <c r="E3" s="123"/>
      <c r="F3" s="123"/>
      <c r="G3" s="123"/>
      <c r="H3" s="123"/>
      <c r="I3" s="123"/>
      <c r="J3" s="123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</row>
    <row r="4" spans="1:30" ht="14.5">
      <c r="A4" s="128"/>
      <c r="B4" s="128"/>
      <c r="C4" s="128"/>
      <c r="D4" s="128"/>
      <c r="E4" s="128"/>
      <c r="F4" s="128"/>
      <c r="G4" s="128"/>
      <c r="H4" s="128"/>
      <c r="I4" s="128"/>
      <c r="J4" s="128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</row>
    <row r="5" spans="1:30" ht="14.5">
      <c r="A5" s="128"/>
      <c r="B5" s="130" t="s">
        <v>179</v>
      </c>
      <c r="C5" s="131" t="s">
        <v>64</v>
      </c>
      <c r="D5" s="131" t="s">
        <v>65</v>
      </c>
      <c r="E5" s="131" t="s">
        <v>347</v>
      </c>
      <c r="F5" s="131" t="s">
        <v>66</v>
      </c>
      <c r="G5" s="131" t="s">
        <v>67</v>
      </c>
      <c r="H5" s="131" t="s">
        <v>68</v>
      </c>
      <c r="I5" s="131" t="s">
        <v>69</v>
      </c>
      <c r="J5" s="131" t="s">
        <v>349</v>
      </c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</row>
    <row r="6" spans="1:30" ht="14.5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</row>
    <row r="7" spans="1:30" ht="14.5">
      <c r="A7" s="128"/>
      <c r="B7" s="132" t="s">
        <v>210</v>
      </c>
      <c r="C7" s="133"/>
      <c r="D7" s="133"/>
      <c r="E7" s="133"/>
      <c r="F7" s="133"/>
      <c r="G7" s="133"/>
      <c r="H7" s="133"/>
      <c r="I7" s="133"/>
      <c r="J7" s="133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</row>
    <row r="8" spans="1:30" ht="14.5">
      <c r="A8" s="128"/>
      <c r="B8" s="134" t="s">
        <v>211</v>
      </c>
      <c r="C8" s="135">
        <f>Historical_Data!C41/Historical_Data!C8*365</f>
        <v>59.906683956534586</v>
      </c>
      <c r="D8" s="135">
        <f>Historical_Data!D41/Historical_Data!D8*365</f>
        <v>64.512785734537957</v>
      </c>
      <c r="E8" s="135">
        <f>Historical_Data!E41/Historical_Data!E8*365</f>
        <v>65.01907955061175</v>
      </c>
      <c r="F8" s="136">
        <f>DSO</f>
        <v>70</v>
      </c>
      <c r="G8" s="136">
        <f>DSO</f>
        <v>70</v>
      </c>
      <c r="H8" s="136">
        <f>DSO</f>
        <v>70</v>
      </c>
      <c r="I8" s="136">
        <f>DSO</f>
        <v>70</v>
      </c>
      <c r="J8" s="136">
        <f>DSO</f>
        <v>70</v>
      </c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</row>
    <row r="9" spans="1:30" ht="14.5">
      <c r="A9" s="128"/>
      <c r="B9" s="134" t="s">
        <v>212</v>
      </c>
      <c r="C9" s="135">
        <f>Historical_Data!C42/Historical_Data!C9*365</f>
        <v>115.99362252572048</v>
      </c>
      <c r="D9" s="135">
        <f>Historical_Data!D42/Historical_Data!D9*365</f>
        <v>112.72404179049603</v>
      </c>
      <c r="E9" s="135">
        <f>Historical_Data!E42/Historical_Data!E9*365</f>
        <v>125.043537414966</v>
      </c>
      <c r="F9" s="136">
        <f>DIO</f>
        <v>140</v>
      </c>
      <c r="G9" s="136">
        <f>DIO</f>
        <v>140</v>
      </c>
      <c r="H9" s="136">
        <f>DIO</f>
        <v>140</v>
      </c>
      <c r="I9" s="136">
        <f>DIO</f>
        <v>140</v>
      </c>
      <c r="J9" s="136">
        <f>DIO</f>
        <v>140</v>
      </c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</row>
    <row r="10" spans="1:30" ht="14.5">
      <c r="A10" s="128"/>
      <c r="B10" s="134" t="s">
        <v>213</v>
      </c>
      <c r="C10" s="135">
        <f>Historical_Data!C47/Historical_Data!C9*365</f>
        <v>59.270501173214605</v>
      </c>
      <c r="D10" s="135">
        <f>Historical_Data!D47/Historical_Data!D9*365</f>
        <v>70.564355525598216</v>
      </c>
      <c r="E10" s="135">
        <f>Historical_Data!E47/Historical_Data!E9*365</f>
        <v>57.325010004001605</v>
      </c>
      <c r="F10" s="136">
        <f>DPO</f>
        <v>60</v>
      </c>
      <c r="G10" s="136">
        <f>DPO</f>
        <v>60</v>
      </c>
      <c r="H10" s="136">
        <f>DPO</f>
        <v>60</v>
      </c>
      <c r="I10" s="136">
        <f>DPO</f>
        <v>60</v>
      </c>
      <c r="J10" s="136">
        <f>DPO</f>
        <v>60</v>
      </c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</row>
    <row r="11" spans="1:30" ht="14.5">
      <c r="A11" s="128"/>
      <c r="B11" s="128"/>
      <c r="C11" s="128"/>
      <c r="D11" s="128"/>
      <c r="E11" s="128"/>
      <c r="F11" s="128"/>
      <c r="G11" s="128"/>
      <c r="H11" s="128"/>
      <c r="I11" s="128"/>
      <c r="J11" s="128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</row>
    <row r="12" spans="1:30" ht="14.5">
      <c r="A12" s="128"/>
      <c r="B12" s="132" t="s">
        <v>214</v>
      </c>
      <c r="C12" s="133"/>
      <c r="D12" s="133"/>
      <c r="E12" s="133"/>
      <c r="F12" s="133"/>
      <c r="G12" s="133"/>
      <c r="H12" s="133"/>
      <c r="I12" s="133"/>
      <c r="J12" s="133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</row>
    <row r="13" spans="1:30" ht="14.5">
      <c r="A13" s="128"/>
      <c r="B13" s="134" t="s">
        <v>163</v>
      </c>
      <c r="C13" s="137">
        <f>Historical_Data!C41</f>
        <v>9999</v>
      </c>
      <c r="D13" s="137">
        <f>Historical_Data!D41</f>
        <v>23065</v>
      </c>
      <c r="E13" s="137">
        <f>Historical_Data!E41</f>
        <v>38466</v>
      </c>
      <c r="F13" s="138">
        <f>Income_Statement!F7/365*F8</f>
        <v>77673.869863013693</v>
      </c>
      <c r="G13" s="138">
        <f>Income_Statement!G7/365*G8</f>
        <v>123254.21257876712</v>
      </c>
      <c r="H13" s="138">
        <f>Income_Statement!H7/365*H8</f>
        <v>170971.81827967078</v>
      </c>
      <c r="I13" s="138">
        <f>Income_Statement!I7/365*I8</f>
        <v>214334.42504372212</v>
      </c>
      <c r="J13" s="138">
        <f>Income_Statement!J7/365*J8</f>
        <v>249824.19977051127</v>
      </c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</row>
    <row r="14" spans="1:30" ht="14.5">
      <c r="A14" s="128"/>
      <c r="B14" s="134" t="s">
        <v>164</v>
      </c>
      <c r="C14" s="137">
        <f>Historical_Data!C42</f>
        <v>5282</v>
      </c>
      <c r="D14" s="137">
        <f>[1]Historical_Data!D42</f>
        <v>10080</v>
      </c>
      <c r="E14" s="137">
        <f>[1]Historical_Data!E42</f>
        <v>21403</v>
      </c>
      <c r="F14" s="138">
        <f>Income_Statement!F9/365*F9</f>
        <v>38836.934931506847</v>
      </c>
      <c r="G14" s="138">
        <f>Income_Statement!G9/365*G9</f>
        <v>64708.461603852731</v>
      </c>
      <c r="H14" s="138">
        <f>Income_Statement!H9/365*H9</f>
        <v>94034.500053818905</v>
      </c>
      <c r="I14" s="138">
        <f>Income_Statement!I9/365*I9</f>
        <v>123242.29440014015</v>
      </c>
      <c r="J14" s="138">
        <f>Income_Statement!J9/365*J9</f>
        <v>149894.51986230668</v>
      </c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</row>
    <row r="15" spans="1:30" ht="14.5">
      <c r="A15" s="128"/>
      <c r="B15" s="134" t="s">
        <v>169</v>
      </c>
      <c r="C15" s="137">
        <f>[1]Historical_Data!C47</f>
        <v>2699</v>
      </c>
      <c r="D15" s="137">
        <f>[1]Historical_Data!D47</f>
        <v>6310</v>
      </c>
      <c r="E15" s="137">
        <f>[1]Historical_Data!E47</f>
        <v>9812</v>
      </c>
      <c r="F15" s="138">
        <f>Income_Statement!F9/365*F10</f>
        <v>16644.400684931505</v>
      </c>
      <c r="G15" s="138">
        <f>Income_Statement!G9/365*G10</f>
        <v>27732.197830222598</v>
      </c>
      <c r="H15" s="138">
        <f>Income_Statement!H9/365*H10</f>
        <v>40300.500023065244</v>
      </c>
      <c r="I15" s="138">
        <f>Income_Statement!I9/365*I10</f>
        <v>52818.126171488635</v>
      </c>
      <c r="J15" s="138">
        <f>Income_Statement!J9/365*J10</f>
        <v>64240.508512417153</v>
      </c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</row>
    <row r="16" spans="1:30" ht="14.5">
      <c r="A16" s="128"/>
      <c r="B16" s="128"/>
      <c r="C16" s="128"/>
      <c r="D16" s="128"/>
      <c r="E16" s="128"/>
      <c r="F16" s="128"/>
      <c r="G16" s="128"/>
      <c r="H16" s="128"/>
      <c r="I16" s="128"/>
      <c r="J16" s="128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</row>
    <row r="17" spans="1:30" ht="14.5">
      <c r="A17" s="128"/>
      <c r="B17" s="132" t="s">
        <v>215</v>
      </c>
      <c r="C17" s="133"/>
      <c r="D17" s="133"/>
      <c r="E17" s="133"/>
      <c r="F17" s="133"/>
      <c r="G17" s="133"/>
      <c r="H17" s="133"/>
      <c r="I17" s="133"/>
      <c r="J17" s="133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</row>
    <row r="18" spans="1:30" ht="14.5">
      <c r="A18" s="128"/>
      <c r="B18" s="139" t="s">
        <v>216</v>
      </c>
      <c r="C18" s="140">
        <f>C13+C14+-C15</f>
        <v>12582</v>
      </c>
      <c r="D18" s="140">
        <f>D13+D14-D15</f>
        <v>26835</v>
      </c>
      <c r="E18" s="140">
        <f>E13+E14-E15</f>
        <v>50057</v>
      </c>
      <c r="F18" s="141">
        <f>F13+F14-F15</f>
        <v>99866.404109589042</v>
      </c>
      <c r="G18" s="141">
        <f t="shared" ref="G18:J18" si="0">G13+G14-G15</f>
        <v>160230.47635239724</v>
      </c>
      <c r="H18" s="141">
        <f t="shared" si="0"/>
        <v>224705.81831042445</v>
      </c>
      <c r="I18" s="141">
        <f t="shared" si="0"/>
        <v>284758.59327237366</v>
      </c>
      <c r="J18" s="141">
        <f t="shared" si="0"/>
        <v>335478.21112040081</v>
      </c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129"/>
      <c r="W18" s="129"/>
      <c r="X18" s="129"/>
      <c r="Y18" s="129"/>
      <c r="Z18" s="129"/>
      <c r="AA18" s="129"/>
      <c r="AB18" s="129"/>
      <c r="AC18" s="129"/>
      <c r="AD18" s="129"/>
    </row>
    <row r="19" spans="1:30" ht="14.5">
      <c r="A19" s="128"/>
      <c r="B19" s="134" t="s">
        <v>217</v>
      </c>
      <c r="C19" s="128"/>
      <c r="D19" s="137">
        <f t="shared" ref="D19:J19" si="1">D18-C18</f>
        <v>14253</v>
      </c>
      <c r="E19" s="137">
        <f t="shared" si="1"/>
        <v>23222</v>
      </c>
      <c r="F19" s="138">
        <f t="shared" si="1"/>
        <v>49809.404109589042</v>
      </c>
      <c r="G19" s="138">
        <f t="shared" si="1"/>
        <v>60364.072242808194</v>
      </c>
      <c r="H19" s="138">
        <f t="shared" si="1"/>
        <v>64475.341958027217</v>
      </c>
      <c r="I19" s="138">
        <f t="shared" si="1"/>
        <v>60052.77496194921</v>
      </c>
      <c r="J19" s="138">
        <f t="shared" si="1"/>
        <v>50719.617848027148</v>
      </c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</row>
  </sheetData>
  <pageMargins left="0.74803149606299213" right="0.74803149606299213" top="0.98425196850393704" bottom="0.98425196850393704" header="0.51181102362204722" footer="0.51181102362204722"/>
  <pageSetup paperSize="9" orientation="landscape" horizontalDpi="300" verticalDpi="300" r:id="rId1"/>
  <headerFooter>
    <oddHeader>&amp;R&amp;"Arial,Bold"BASE CASE</oddHeader>
    <oddFooter>&amp;RResearch by T Ghiyas Kausara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tabColor rgb="FFFF0000"/>
  </sheetPr>
  <dimension ref="A1:AD17"/>
  <sheetViews>
    <sheetView showGridLines="0" view="pageBreakPreview" topLeftCell="B1" zoomScaleNormal="85" zoomScaleSheetLayoutView="100" workbookViewId="0">
      <selection activeCell="E15" sqref="E15"/>
    </sheetView>
  </sheetViews>
  <sheetFormatPr defaultColWidth="8.58203125" defaultRowHeight="14"/>
  <cols>
    <col min="1" max="1" width="2.5" customWidth="1"/>
    <col min="2" max="2" width="34.83203125" customWidth="1"/>
    <col min="3" max="10" width="9.75" customWidth="1"/>
  </cols>
  <sheetData>
    <row r="1" spans="1:30" ht="14.5">
      <c r="A1" s="1"/>
      <c r="B1" s="1"/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21.75" customHeight="1">
      <c r="A2" s="1"/>
      <c r="B2" s="3" t="s">
        <v>218</v>
      </c>
      <c r="C2" s="1"/>
      <c r="D2" s="1"/>
      <c r="E2" s="1"/>
      <c r="F2" s="1"/>
      <c r="G2" s="1"/>
      <c r="H2" s="1"/>
      <c r="I2" s="1"/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5">
      <c r="A3" s="1"/>
      <c r="B3" s="5" t="s">
        <v>25</v>
      </c>
      <c r="C3" s="1"/>
      <c r="D3" s="1"/>
      <c r="E3" s="1"/>
      <c r="F3" s="1"/>
      <c r="G3" s="1"/>
      <c r="H3" s="1"/>
      <c r="I3" s="1"/>
      <c r="J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5">
      <c r="A4" s="6"/>
      <c r="B4" s="6"/>
      <c r="C4" s="6"/>
      <c r="D4" s="6"/>
      <c r="E4" s="6"/>
      <c r="F4" s="6"/>
      <c r="G4" s="6"/>
      <c r="H4" s="6"/>
      <c r="I4" s="6"/>
      <c r="J4" s="6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ht="14.5">
      <c r="A5" s="6"/>
      <c r="B5" s="38" t="s">
        <v>179</v>
      </c>
      <c r="C5" s="30" t="s">
        <v>64</v>
      </c>
      <c r="D5" s="30" t="s">
        <v>65</v>
      </c>
      <c r="E5" s="104" t="s">
        <v>347</v>
      </c>
      <c r="F5" s="30" t="s">
        <v>66</v>
      </c>
      <c r="G5" s="30" t="s">
        <v>67</v>
      </c>
      <c r="H5" s="30" t="s">
        <v>68</v>
      </c>
      <c r="I5" s="30" t="s">
        <v>69</v>
      </c>
      <c r="J5" s="104" t="s">
        <v>349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1:30" ht="14.5">
      <c r="A6" s="6"/>
      <c r="B6" s="6"/>
      <c r="C6" s="6"/>
      <c r="D6" s="6"/>
      <c r="E6" s="6"/>
      <c r="F6" s="6"/>
      <c r="G6" s="6"/>
      <c r="H6" s="6"/>
      <c r="I6" s="6"/>
      <c r="J6" s="6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ht="14.5">
      <c r="A7" s="6"/>
      <c r="B7" s="40" t="s">
        <v>219</v>
      </c>
      <c r="C7" s="8"/>
      <c r="D7" s="8"/>
      <c r="E7" s="8"/>
      <c r="F7" s="8"/>
      <c r="G7" s="8"/>
      <c r="H7" s="8"/>
      <c r="I7" s="8"/>
      <c r="J7" s="8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ht="14.5">
      <c r="A8" s="6"/>
      <c r="B8" s="45" t="s">
        <v>220</v>
      </c>
      <c r="C8" s="43">
        <f>Historical_Data!C49+Historical_Data!C50</f>
        <v>9709</v>
      </c>
      <c r="D8" s="43">
        <f t="shared" ref="D8:J8" si="0">C11</f>
        <v>9709</v>
      </c>
      <c r="E8" s="43">
        <f t="shared" si="0"/>
        <v>8463</v>
      </c>
      <c r="F8" s="47">
        <f t="shared" si="0"/>
        <v>8468</v>
      </c>
      <c r="G8" s="47">
        <f t="shared" si="0"/>
        <v>32468</v>
      </c>
      <c r="H8" s="47">
        <f t="shared" si="0"/>
        <v>32468</v>
      </c>
      <c r="I8" s="47">
        <f t="shared" si="0"/>
        <v>27718</v>
      </c>
      <c r="J8" s="47">
        <f t="shared" si="0"/>
        <v>24218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</row>
    <row r="9" spans="1:30" ht="14.5">
      <c r="A9" s="6"/>
      <c r="B9" s="45" t="s">
        <v>221</v>
      </c>
      <c r="C9" s="43">
        <f>0</f>
        <v>0</v>
      </c>
      <c r="D9" s="43">
        <f>0</f>
        <v>0</v>
      </c>
      <c r="E9" s="43">
        <f>0</f>
        <v>0</v>
      </c>
      <c r="F9" s="47">
        <v>25000</v>
      </c>
      <c r="G9" s="47">
        <f>0</f>
        <v>0</v>
      </c>
      <c r="H9" s="47">
        <f>0</f>
        <v>0</v>
      </c>
      <c r="I9" s="47">
        <f>0</f>
        <v>0</v>
      </c>
      <c r="J9" s="47">
        <f>0</f>
        <v>0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ht="14.5">
      <c r="A10" s="6"/>
      <c r="B10" s="45" t="s">
        <v>222</v>
      </c>
      <c r="C10" s="43">
        <f>Historical_Data!C36</f>
        <v>1250</v>
      </c>
      <c r="D10" s="43">
        <f>Historical_Data!D36</f>
        <v>1250</v>
      </c>
      <c r="E10" s="43">
        <f>Historical_Data!E36</f>
        <v>0</v>
      </c>
      <c r="F10" s="47">
        <v>1000</v>
      </c>
      <c r="G10" s="47"/>
      <c r="H10" s="47">
        <v>4750</v>
      </c>
      <c r="I10" s="47">
        <v>3500</v>
      </c>
      <c r="J10" s="47">
        <v>1500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ht="14.5">
      <c r="A11" s="6"/>
      <c r="B11" s="41" t="s">
        <v>223</v>
      </c>
      <c r="C11" s="52">
        <f>Historical_Data!C49+Historical_Data!C50</f>
        <v>9709</v>
      </c>
      <c r="D11" s="52">
        <f>Historical_Data!D49+Historical_Data!D50</f>
        <v>8463</v>
      </c>
      <c r="E11" s="52">
        <f>Historical_Data!E49+Historical_Data!E50</f>
        <v>8468</v>
      </c>
      <c r="F11" s="49">
        <f>F8+F9-F10</f>
        <v>32468</v>
      </c>
      <c r="G11" s="49">
        <f>G8+G9-G10</f>
        <v>32468</v>
      </c>
      <c r="H11" s="49">
        <f>H8+H9-H10</f>
        <v>27718</v>
      </c>
      <c r="I11" s="49">
        <f>I8+I9-I10</f>
        <v>24218</v>
      </c>
      <c r="J11" s="49">
        <f>J8+J9-J10</f>
        <v>22718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</row>
    <row r="12" spans="1:30" ht="14.5">
      <c r="A12" s="6"/>
      <c r="B12" s="45" t="s">
        <v>224</v>
      </c>
      <c r="C12" s="58">
        <f>Assumptions!C22</f>
        <v>4.2999999999999997E-2</v>
      </c>
      <c r="D12" s="58">
        <f>C12</f>
        <v>4.2999999999999997E-2</v>
      </c>
      <c r="E12" s="58">
        <f>D12</f>
        <v>4.2999999999999997E-2</v>
      </c>
      <c r="F12" s="59">
        <f>E12</f>
        <v>4.2999999999999997E-2</v>
      </c>
      <c r="G12" s="59">
        <f t="shared" ref="G12:J12" si="1">F12</f>
        <v>4.2999999999999997E-2</v>
      </c>
      <c r="H12" s="59">
        <f t="shared" si="1"/>
        <v>4.2999999999999997E-2</v>
      </c>
      <c r="I12" s="59">
        <f t="shared" si="1"/>
        <v>4.2999999999999997E-2</v>
      </c>
      <c r="J12" s="59">
        <f t="shared" si="1"/>
        <v>4.2999999999999997E-2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ht="14.5">
      <c r="A13" s="6"/>
      <c r="B13" s="45" t="s">
        <v>199</v>
      </c>
      <c r="C13" s="6"/>
      <c r="D13" s="6"/>
      <c r="E13" s="6"/>
      <c r="F13" s="47">
        <f>AVERAGE(F8,F11)*F12</f>
        <v>880.12399999999991</v>
      </c>
      <c r="G13" s="47">
        <f>AVERAGE(G8,G11)*G12</f>
        <v>1396.1239999999998</v>
      </c>
      <c r="H13" s="47">
        <f>AVERAGE(H8,H11)*H12</f>
        <v>1293.9989999999998</v>
      </c>
      <c r="I13" s="47">
        <f>AVERAGE(I8,I11)*I12</f>
        <v>1116.624</v>
      </c>
      <c r="J13" s="47">
        <f>AVERAGE(J8,J11)*J12</f>
        <v>1009.1239999999999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ht="14.5">
      <c r="A14" s="6"/>
      <c r="B14" s="6"/>
      <c r="C14" s="6"/>
      <c r="D14" s="6"/>
      <c r="E14" s="6"/>
      <c r="F14" s="6"/>
      <c r="G14" s="6"/>
      <c r="H14" s="6"/>
      <c r="I14" s="6"/>
      <c r="J14" s="6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</row>
    <row r="15" spans="1:30" ht="14.5">
      <c r="A15" s="6"/>
      <c r="B15" s="40" t="s">
        <v>225</v>
      </c>
      <c r="C15" s="8"/>
      <c r="D15" s="8"/>
      <c r="E15" s="8"/>
      <c r="F15" s="8"/>
      <c r="G15" s="8"/>
      <c r="H15" s="8"/>
      <c r="I15" s="8"/>
      <c r="J15" s="8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ht="14.5">
      <c r="A16" s="6"/>
      <c r="B16" s="45" t="s">
        <v>383</v>
      </c>
      <c r="C16" s="6"/>
      <c r="D16" s="6"/>
      <c r="E16" s="6"/>
      <c r="F16" s="47">
        <f>Cash_Flow!F30+Balance_Sheet!E9-Assumptions!$C$29</f>
        <v>49670</v>
      </c>
      <c r="G16" s="47">
        <f>Cash_Flow!G30+Balance_Sheet!F9-Assumptions!$C$29</f>
        <v>93153.162500000006</v>
      </c>
      <c r="H16" s="47">
        <f>Cash_Flow!H30+Balance_Sheet!G9-Assumptions!$C$29</f>
        <v>147817.01637124998</v>
      </c>
      <c r="I16" s="47">
        <f>Cash_Flow!I30+Balance_Sheet!H9-Assumptions!$C$29</f>
        <v>403779.25287315133</v>
      </c>
      <c r="J16" s="47">
        <f>Cash_Flow!J30+Balance_Sheet!I9-Assumptions!$C$29</f>
        <v>772530.01420679723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ht="14.5">
      <c r="A17" s="6"/>
      <c r="B17" s="57" t="s">
        <v>198</v>
      </c>
      <c r="C17" s="6"/>
      <c r="D17" s="6"/>
      <c r="E17" s="6"/>
      <c r="F17" s="49">
        <f>F16*Cash_Yield</f>
        <v>1986.8</v>
      </c>
      <c r="G17" s="49">
        <f>G16*Cash_Yield</f>
        <v>3726.1265000000003</v>
      </c>
      <c r="H17" s="49">
        <f>H16*Cash_Yield</f>
        <v>5912.680654849999</v>
      </c>
      <c r="I17" s="49">
        <f>I16*Cash_Yield</f>
        <v>16151.170114926053</v>
      </c>
      <c r="J17" s="49">
        <f>J16*Cash_Yield</f>
        <v>30901.200568271888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</row>
  </sheetData>
  <pageMargins left="0.74803149606299213" right="0.74803149606299213" top="0.98425196850393704" bottom="0.98425196850393704" header="0.51181102362204722" footer="0.51181102362204722"/>
  <pageSetup paperSize="9" orientation="landscape" horizontalDpi="300" verticalDpi="300" r:id="rId1"/>
  <headerFooter>
    <oddHeader>&amp;R&amp;"Arial,Bold"BASE CASE</oddHeader>
    <oddFooter>&amp;RResearch by T Ghiyas Kausara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A5A5A5"/>
  </sheetPr>
  <dimension ref="A1:AD44"/>
  <sheetViews>
    <sheetView showGridLines="0" view="pageBreakPreview" zoomScale="85" zoomScaleNormal="40" zoomScaleSheetLayoutView="85" workbookViewId="0">
      <selection activeCell="E35" sqref="E35"/>
    </sheetView>
  </sheetViews>
  <sheetFormatPr defaultColWidth="8.58203125" defaultRowHeight="14"/>
  <cols>
    <col min="1" max="1" width="2.5" customWidth="1"/>
    <col min="2" max="2" width="27" customWidth="1"/>
    <col min="3" max="10" width="10.75" customWidth="1"/>
  </cols>
  <sheetData>
    <row r="1" spans="1:30" ht="14.5">
      <c r="A1" s="1"/>
      <c r="B1" s="1"/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21.75" customHeight="1">
      <c r="A2" s="1"/>
      <c r="B2" s="3" t="s">
        <v>226</v>
      </c>
      <c r="C2" s="1"/>
      <c r="D2" s="1"/>
      <c r="E2" s="1"/>
      <c r="F2" s="1"/>
      <c r="G2" s="1"/>
      <c r="H2" s="1"/>
      <c r="I2" s="1"/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5">
      <c r="A3" s="1"/>
      <c r="B3" s="5" t="s">
        <v>227</v>
      </c>
      <c r="C3" s="1"/>
      <c r="D3" s="1"/>
      <c r="E3" s="1"/>
      <c r="F3" s="1"/>
      <c r="G3" s="1"/>
      <c r="H3" s="1"/>
      <c r="I3" s="1"/>
      <c r="J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5">
      <c r="A4" s="6"/>
      <c r="B4" s="6"/>
      <c r="C4" s="6"/>
      <c r="D4" s="6"/>
      <c r="E4" s="6"/>
      <c r="F4" s="6"/>
      <c r="G4" s="6"/>
      <c r="H4" s="6"/>
      <c r="I4" s="6"/>
      <c r="J4" s="6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ht="14.5">
      <c r="A5" s="6"/>
      <c r="B5" s="38" t="s">
        <v>179</v>
      </c>
      <c r="C5" s="30" t="s">
        <v>64</v>
      </c>
      <c r="D5" s="30" t="s">
        <v>65</v>
      </c>
      <c r="E5" s="104" t="s">
        <v>347</v>
      </c>
      <c r="F5" s="30" t="s">
        <v>66</v>
      </c>
      <c r="G5" s="30" t="s">
        <v>67</v>
      </c>
      <c r="H5" s="30" t="s">
        <v>68</v>
      </c>
      <c r="I5" s="30" t="s">
        <v>69</v>
      </c>
      <c r="J5" s="104" t="s">
        <v>349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1:30" ht="14.5">
      <c r="A6" s="6"/>
      <c r="B6" s="6"/>
      <c r="C6" s="6"/>
      <c r="D6" s="6"/>
      <c r="E6" s="6"/>
      <c r="F6" s="88"/>
      <c r="G6" s="88"/>
      <c r="H6" s="88"/>
      <c r="I6" s="88"/>
      <c r="J6" s="88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ht="14.5">
      <c r="A7" s="6"/>
      <c r="B7" s="40" t="s">
        <v>228</v>
      </c>
      <c r="C7" s="8"/>
      <c r="D7" s="8"/>
      <c r="E7" s="8"/>
      <c r="F7" s="8"/>
      <c r="G7" s="8"/>
      <c r="H7" s="8"/>
      <c r="I7" s="8"/>
      <c r="J7" s="8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ht="14.5">
      <c r="A8" s="6"/>
      <c r="B8" s="45" t="s">
        <v>161</v>
      </c>
      <c r="C8" s="43">
        <f>Historical_Data!C39</f>
        <v>7280</v>
      </c>
      <c r="D8" s="43">
        <f>Historical_Data!D39</f>
        <v>8589</v>
      </c>
      <c r="E8" s="43">
        <f>Historical_Data!E39</f>
        <v>10605</v>
      </c>
      <c r="F8" s="47">
        <f>Cash_Flow!F31</f>
        <v>32401.100000000006</v>
      </c>
      <c r="G8" s="47">
        <f>Cash_Flow!G31</f>
        <v>51414.614390000002</v>
      </c>
      <c r="H8" s="47">
        <f>Cash_Flow!H31</f>
        <v>71319.672768091172</v>
      </c>
      <c r="I8" s="47">
        <f>Cash_Flow!I31</f>
        <v>89408.074446809725</v>
      </c>
      <c r="J8" s="47">
        <f>Cash_Flow!J31</f>
        <v>104212.38047569901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</row>
    <row r="9" spans="1:30" ht="14.5">
      <c r="A9" s="6"/>
      <c r="B9" s="45" t="s">
        <v>162</v>
      </c>
      <c r="C9" s="43">
        <f>Historical_Data!C40</f>
        <v>18704</v>
      </c>
      <c r="D9" s="43">
        <f>Historical_Data!D40</f>
        <v>34621</v>
      </c>
      <c r="E9" s="43">
        <f>Historical_Data!E40</f>
        <v>51951</v>
      </c>
      <c r="F9" s="47">
        <f>E9-Cash_Flow!F16</f>
        <v>73638.0625</v>
      </c>
      <c r="G9" s="47">
        <f>F9-Cash_Flow!G16</f>
        <v>109288.40198124998</v>
      </c>
      <c r="H9" s="47">
        <f>G9-Cash_Flow!H16</f>
        <v>345345.58010506013</v>
      </c>
      <c r="I9" s="47">
        <f>H9-Cash_Flow!I16</f>
        <v>696007.93975998752</v>
      </c>
      <c r="J9" s="47">
        <f>I9-Cash_Flow!J16</f>
        <v>1147645.5235970877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ht="14.5">
      <c r="A10" s="6"/>
      <c r="B10" s="45" t="s">
        <v>163</v>
      </c>
      <c r="C10" s="43">
        <f>Historical_Data!C41</f>
        <v>9999</v>
      </c>
      <c r="D10" s="43">
        <f>Historical_Data!D41</f>
        <v>23065</v>
      </c>
      <c r="E10" s="43">
        <f>Historical_Data!E41</f>
        <v>38466</v>
      </c>
      <c r="F10" s="47">
        <f>Working_Capital!F13</f>
        <v>77673.869863013693</v>
      </c>
      <c r="G10" s="47">
        <f>Working_Capital!G13</f>
        <v>123254.21257876712</v>
      </c>
      <c r="H10" s="47">
        <f>Working_Capital!H13</f>
        <v>170971.81827967078</v>
      </c>
      <c r="I10" s="47">
        <f>Working_Capital!I13</f>
        <v>214334.42504372212</v>
      </c>
      <c r="J10" s="47">
        <f>Working_Capital!J13</f>
        <v>249824.19977051127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ht="14.5">
      <c r="A11" s="6"/>
      <c r="B11" s="45" t="s">
        <v>164</v>
      </c>
      <c r="C11" s="43">
        <f>Working_Capital!C14</f>
        <v>5282</v>
      </c>
      <c r="D11" s="43">
        <f>Working_Capital!D14</f>
        <v>10080</v>
      </c>
      <c r="E11" s="43">
        <f>Working_Capital!E14</f>
        <v>21403</v>
      </c>
      <c r="F11" s="47">
        <f>Working_Capital!F14</f>
        <v>38836.934931506847</v>
      </c>
      <c r="G11" s="47">
        <f>Working_Capital!G14</f>
        <v>64708.461603852731</v>
      </c>
      <c r="H11" s="47">
        <f>Working_Capital!H14</f>
        <v>94034.500053818905</v>
      </c>
      <c r="I11" s="47">
        <f>Working_Capital!I14</f>
        <v>123242.29440014015</v>
      </c>
      <c r="J11" s="47">
        <f>Working_Capital!J14</f>
        <v>149894.51986230668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</row>
    <row r="12" spans="1:30" ht="14.5">
      <c r="A12" s="6"/>
      <c r="B12" s="45" t="s">
        <v>229</v>
      </c>
      <c r="C12" s="43">
        <f>Historical_Data!C43-C8-C9-C10-C11</f>
        <v>3080</v>
      </c>
      <c r="D12" s="43">
        <f>Historical_Data!D43-D8-D9-D10-D11</f>
        <v>3771</v>
      </c>
      <c r="E12" s="43">
        <f>Historical_Data!E43-E8-E9-E10-E11</f>
        <v>3180</v>
      </c>
      <c r="F12" s="47">
        <f>E12</f>
        <v>3180</v>
      </c>
      <c r="G12" s="47">
        <f>F12</f>
        <v>3180</v>
      </c>
      <c r="H12" s="47">
        <f>G12</f>
        <v>3180</v>
      </c>
      <c r="I12" s="47">
        <f>H12</f>
        <v>3180</v>
      </c>
      <c r="J12" s="47">
        <f>I12</f>
        <v>3180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ht="14.5">
      <c r="A13" s="6"/>
      <c r="B13" s="41" t="s">
        <v>165</v>
      </c>
      <c r="C13" s="48">
        <f>C8+C9+C10+C11+C12</f>
        <v>44345</v>
      </c>
      <c r="D13" s="48">
        <f t="shared" ref="D13:E13" si="0">D8+D9+D10+D11+D12</f>
        <v>80126</v>
      </c>
      <c r="E13" s="48">
        <f t="shared" si="0"/>
        <v>125605</v>
      </c>
      <c r="F13" s="49">
        <f>F8+F9+F10+F11+F12</f>
        <v>225729.96729452055</v>
      </c>
      <c r="G13" s="49">
        <f t="shared" ref="G13:J13" si="1">G8+G9+G10+G11+G12</f>
        <v>351845.69055386988</v>
      </c>
      <c r="H13" s="49">
        <f t="shared" si="1"/>
        <v>684851.57120664103</v>
      </c>
      <c r="I13" s="49">
        <f t="shared" si="1"/>
        <v>1126172.7336506594</v>
      </c>
      <c r="J13" s="49">
        <f t="shared" si="1"/>
        <v>1654756.6237056048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ht="14.5">
      <c r="A14" s="6"/>
      <c r="B14" s="45" t="s">
        <v>166</v>
      </c>
      <c r="C14" s="43">
        <f>Historical_Data!C44</f>
        <v>3914</v>
      </c>
      <c r="D14" s="43">
        <f>Historical_Data!D44</f>
        <v>6283</v>
      </c>
      <c r="E14" s="43">
        <f>Historical_Data!E44</f>
        <v>10383</v>
      </c>
      <c r="F14" s="47">
        <f>E14-Cash_Flow!F15-Cash_Flow!F9</f>
        <v>16773.040312499998</v>
      </c>
      <c r="G14" s="47">
        <f>F14-Cash_Flow!G15-Cash_Flow!G9</f>
        <v>26808.872530031251</v>
      </c>
      <c r="H14" s="47">
        <f>G14-Cash_Flow!H15-Cash_Flow!H9</f>
        <v>39490.290907148541</v>
      </c>
      <c r="I14" s="47">
        <f>H14-Cash_Flow!I15-Cash_Flow!I9</f>
        <v>53329.312121628318</v>
      </c>
      <c r="J14" s="47">
        <f>I14-Cash_Flow!J15-Cash_Flow!J9</f>
        <v>66904.758088727773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</row>
    <row r="15" spans="1:30" ht="14.5">
      <c r="A15" s="6"/>
      <c r="B15" s="45" t="s">
        <v>230</v>
      </c>
      <c r="C15" s="43">
        <f>Historical_Data!C45</f>
        <v>4430</v>
      </c>
      <c r="D15" s="43">
        <f>Historical_Data!D45</f>
        <v>5188</v>
      </c>
      <c r="E15" s="43">
        <f>Historical_Data!E45</f>
        <v>20832</v>
      </c>
      <c r="F15" s="47">
        <f t="shared" ref="F15:J15" si="2">E15</f>
        <v>20832</v>
      </c>
      <c r="G15" s="47">
        <f t="shared" si="2"/>
        <v>20832</v>
      </c>
      <c r="H15" s="47">
        <f t="shared" si="2"/>
        <v>20832</v>
      </c>
      <c r="I15" s="47">
        <f t="shared" si="2"/>
        <v>20832</v>
      </c>
      <c r="J15" s="47">
        <f t="shared" si="2"/>
        <v>20832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ht="14.5">
      <c r="A16" s="6"/>
      <c r="B16" s="45" t="s">
        <v>231</v>
      </c>
      <c r="C16" s="43">
        <f>Historical_Data!C46-C13-C14-C15</f>
        <v>13039</v>
      </c>
      <c r="D16" s="43">
        <f>Historical_Data!D46-D13-D14-D15</f>
        <v>20004</v>
      </c>
      <c r="E16" s="43">
        <f>Historical_Data!E46-E13-E14-E15</f>
        <v>49983</v>
      </c>
      <c r="F16" s="47">
        <f>E16-Cash_Flow!F17</f>
        <v>99983</v>
      </c>
      <c r="G16" s="47">
        <f>F16-Cash_Flow!G17</f>
        <v>159983</v>
      </c>
      <c r="H16" s="47">
        <f>G16-Cash_Flow!H17</f>
        <v>229983</v>
      </c>
      <c r="I16" s="47">
        <f>H16-Cash_Flow!I17</f>
        <v>309983</v>
      </c>
      <c r="J16" s="47">
        <f>I16-Cash_Flow!J17</f>
        <v>399983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ht="14.5">
      <c r="A17" s="6"/>
      <c r="B17" s="41" t="s">
        <v>232</v>
      </c>
      <c r="C17" s="50">
        <f t="shared" ref="C17:J17" si="3">C13+C14+C15+C16</f>
        <v>65728</v>
      </c>
      <c r="D17" s="50">
        <f t="shared" si="3"/>
        <v>111601</v>
      </c>
      <c r="E17" s="50">
        <f t="shared" si="3"/>
        <v>206803</v>
      </c>
      <c r="F17" s="50">
        <f t="shared" si="3"/>
        <v>363318.00760702055</v>
      </c>
      <c r="G17" s="50">
        <f t="shared" si="3"/>
        <v>559469.56308390107</v>
      </c>
      <c r="H17" s="50">
        <f t="shared" si="3"/>
        <v>975156.86211378954</v>
      </c>
      <c r="I17" s="50">
        <f t="shared" si="3"/>
        <v>1510317.0457722878</v>
      </c>
      <c r="J17" s="50">
        <f t="shared" si="3"/>
        <v>2142476.3817943325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</row>
    <row r="18" spans="1:30" ht="14.5">
      <c r="A18" s="6"/>
      <c r="B18" s="6"/>
      <c r="C18" s="114"/>
      <c r="D18" s="114"/>
      <c r="E18" s="6"/>
      <c r="F18" s="6"/>
      <c r="G18" s="6"/>
      <c r="H18" s="6"/>
      <c r="I18" s="6"/>
      <c r="J18" s="6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</row>
    <row r="19" spans="1:30" ht="14.5">
      <c r="A19" s="6"/>
      <c r="B19" s="40" t="s">
        <v>233</v>
      </c>
      <c r="C19" s="8"/>
      <c r="D19" s="8"/>
      <c r="E19" s="8"/>
      <c r="F19" s="8"/>
      <c r="G19" s="8"/>
      <c r="H19" s="8"/>
      <c r="I19" s="8"/>
      <c r="J19" s="8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</row>
    <row r="20" spans="1:30" ht="14.5">
      <c r="A20" s="6"/>
      <c r="B20" s="45" t="s">
        <v>169</v>
      </c>
      <c r="C20" s="43">
        <f>Working_Capital!C15</f>
        <v>2699</v>
      </c>
      <c r="D20" s="43">
        <f>Working_Capital!D15</f>
        <v>6310</v>
      </c>
      <c r="E20" s="43">
        <f>Working_Capital!E15</f>
        <v>9812</v>
      </c>
      <c r="F20" s="47">
        <f>Working_Capital!F15</f>
        <v>16644.400684931505</v>
      </c>
      <c r="G20" s="47">
        <f>Working_Capital!G15</f>
        <v>27732.197830222598</v>
      </c>
      <c r="H20" s="47">
        <f>Working_Capital!H15</f>
        <v>40300.500023065244</v>
      </c>
      <c r="I20" s="47">
        <f>Working_Capital!I15</f>
        <v>52818.126171488635</v>
      </c>
      <c r="J20" s="47">
        <f>Working_Capital!J15</f>
        <v>64240.508512417153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</row>
    <row r="21" spans="1:30" ht="14.5">
      <c r="A21" s="6"/>
      <c r="B21" s="45" t="s">
        <v>234</v>
      </c>
      <c r="C21" s="43">
        <f>Historical_Data!C48-C20-Historical_Data!C50</f>
        <v>6682</v>
      </c>
      <c r="D21" s="43">
        <f>Historical_Data!D48-D20-Historical_Data!D50</f>
        <v>11737</v>
      </c>
      <c r="E21" s="43">
        <f>Historical_Data!E48-E20-Historical_Data!E50</f>
        <v>21352</v>
      </c>
      <c r="F21" s="47">
        <f>E21</f>
        <v>21352</v>
      </c>
      <c r="G21" s="47">
        <f>F21</f>
        <v>21352</v>
      </c>
      <c r="H21" s="47">
        <f>G21</f>
        <v>21352</v>
      </c>
      <c r="I21" s="47">
        <f>H21</f>
        <v>21352</v>
      </c>
      <c r="J21" s="47">
        <f>I21</f>
        <v>21352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ht="14.5">
      <c r="A22" s="6"/>
      <c r="B22" s="45" t="s">
        <v>172</v>
      </c>
      <c r="C22" s="43">
        <f>Historical_Data!C50</f>
        <v>1250</v>
      </c>
      <c r="D22" s="43">
        <f>Historical_Data!D50</f>
        <v>0</v>
      </c>
      <c r="E22" s="43">
        <f>Historical_Data!E50</f>
        <v>999</v>
      </c>
      <c r="F22" s="47">
        <f>0</f>
        <v>0</v>
      </c>
      <c r="G22" s="47">
        <f>0</f>
        <v>0</v>
      </c>
      <c r="H22" s="47">
        <f>0</f>
        <v>0</v>
      </c>
      <c r="I22" s="47">
        <f>0</f>
        <v>0</v>
      </c>
      <c r="J22" s="47">
        <f>0</f>
        <v>0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ht="14.5">
      <c r="A23" s="6"/>
      <c r="B23" s="41" t="s">
        <v>170</v>
      </c>
      <c r="C23" s="48">
        <f t="shared" ref="C23:J23" si="4">C20+C21+C22</f>
        <v>10631</v>
      </c>
      <c r="D23" s="48">
        <f t="shared" si="4"/>
        <v>18047</v>
      </c>
      <c r="E23" s="48">
        <f t="shared" si="4"/>
        <v>32163</v>
      </c>
      <c r="F23" s="49">
        <f t="shared" si="4"/>
        <v>37996.400684931505</v>
      </c>
      <c r="G23" s="49">
        <f t="shared" si="4"/>
        <v>49084.197830222598</v>
      </c>
      <c r="H23" s="49">
        <f t="shared" si="4"/>
        <v>61652.500023065244</v>
      </c>
      <c r="I23" s="49">
        <f t="shared" si="4"/>
        <v>74170.126171488635</v>
      </c>
      <c r="J23" s="49">
        <f t="shared" si="4"/>
        <v>85592.508512417146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</row>
    <row r="24" spans="1:30" ht="14.5">
      <c r="A24" s="6"/>
      <c r="B24" s="45" t="s">
        <v>171</v>
      </c>
      <c r="C24" s="43">
        <f>Historical_Data!C49</f>
        <v>8459</v>
      </c>
      <c r="D24" s="43">
        <f>Historical_Data!D49</f>
        <v>8463</v>
      </c>
      <c r="E24" s="43">
        <f>Historical_Data!E49</f>
        <v>7469</v>
      </c>
      <c r="F24" s="47">
        <f>Debt_Schedule!F11</f>
        <v>32468</v>
      </c>
      <c r="G24" s="47">
        <f>Debt_Schedule!G11</f>
        <v>32468</v>
      </c>
      <c r="H24" s="47">
        <f>Debt_Schedule!H11</f>
        <v>27718</v>
      </c>
      <c r="I24" s="47">
        <f>Debt_Schedule!I11</f>
        <v>24218</v>
      </c>
      <c r="J24" s="47">
        <f>Debt_Schedule!J11</f>
        <v>22718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ht="14.5">
      <c r="A25" s="6"/>
      <c r="B25" s="45" t="s">
        <v>235</v>
      </c>
      <c r="C25" s="43">
        <f>Historical_Data!C51-C23-C24</f>
        <v>3660</v>
      </c>
      <c r="D25" s="43">
        <f>Historical_Data!D51-D23-D24</f>
        <v>5764</v>
      </c>
      <c r="E25" s="43">
        <f>Historical_Data!E51-E23-E24</f>
        <v>9878</v>
      </c>
      <c r="F25" s="47">
        <f>E25</f>
        <v>9878</v>
      </c>
      <c r="G25" s="47">
        <f>F25</f>
        <v>9878</v>
      </c>
      <c r="H25" s="47">
        <f>G25</f>
        <v>9878</v>
      </c>
      <c r="I25" s="47">
        <f>H25</f>
        <v>9878</v>
      </c>
      <c r="J25" s="47">
        <f>I25</f>
        <v>9878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ht="14.5">
      <c r="A26" s="6"/>
      <c r="B26" s="41" t="s">
        <v>236</v>
      </c>
      <c r="C26" s="50">
        <f t="shared" ref="C26:J26" si="5">C23+C24+C25</f>
        <v>22750</v>
      </c>
      <c r="D26" s="50">
        <f t="shared" si="5"/>
        <v>32274</v>
      </c>
      <c r="E26" s="50">
        <f t="shared" si="5"/>
        <v>49510</v>
      </c>
      <c r="F26" s="50">
        <f t="shared" si="5"/>
        <v>80342.400684931505</v>
      </c>
      <c r="G26" s="50">
        <f t="shared" si="5"/>
        <v>91430.197830222605</v>
      </c>
      <c r="H26" s="50">
        <f t="shared" si="5"/>
        <v>99248.500023065251</v>
      </c>
      <c r="I26" s="50">
        <f t="shared" si="5"/>
        <v>108266.12617148864</v>
      </c>
      <c r="J26" s="50">
        <f t="shared" si="5"/>
        <v>118188.50851241715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</row>
    <row r="27" spans="1:30" ht="14.5">
      <c r="A27" s="6"/>
      <c r="B27" s="41"/>
      <c r="C27" s="64"/>
      <c r="D27" s="64"/>
      <c r="E27" s="64"/>
      <c r="F27" s="64"/>
      <c r="G27" s="64"/>
      <c r="H27" s="64"/>
      <c r="I27" s="64"/>
      <c r="J27" s="64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  <row r="28" spans="1:30" ht="14.5">
      <c r="A28" s="6"/>
      <c r="B28" s="41"/>
      <c r="C28" s="64"/>
      <c r="D28" s="64"/>
      <c r="E28" s="64"/>
      <c r="F28" s="64"/>
      <c r="G28" s="64"/>
      <c r="H28" s="64"/>
      <c r="I28" s="64"/>
      <c r="J28" s="64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</row>
    <row r="29" spans="1:30" ht="14.5">
      <c r="A29" s="6"/>
      <c r="B29" s="41"/>
      <c r="C29" s="64"/>
      <c r="D29" s="64"/>
      <c r="E29" s="64"/>
      <c r="F29" s="64"/>
      <c r="G29" s="64"/>
      <c r="H29" s="64"/>
      <c r="I29" s="64"/>
      <c r="J29" s="64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</row>
    <row r="30" spans="1:30" ht="14.5">
      <c r="A30" s="6"/>
      <c r="B30" s="6"/>
      <c r="C30" s="6"/>
      <c r="D30" s="6"/>
      <c r="E30" s="6"/>
      <c r="F30" s="6"/>
      <c r="G30" s="6"/>
      <c r="H30" s="6"/>
      <c r="I30" s="6"/>
      <c r="J30" s="6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</row>
    <row r="31" spans="1:30" ht="14.5">
      <c r="A31" s="6"/>
      <c r="B31" s="40" t="s">
        <v>237</v>
      </c>
      <c r="C31" s="8"/>
      <c r="D31" s="8"/>
      <c r="E31" s="8"/>
      <c r="F31" s="8"/>
      <c r="G31" s="8"/>
      <c r="H31" s="8"/>
      <c r="I31" s="8"/>
      <c r="J31" s="8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</row>
    <row r="32" spans="1:30" ht="14.5">
      <c r="A32" s="6"/>
      <c r="B32" s="45" t="s">
        <v>238</v>
      </c>
      <c r="C32" s="6"/>
      <c r="D32" s="6"/>
      <c r="E32" s="6"/>
      <c r="F32" s="47">
        <f>Historical_Data!E52</f>
        <v>157293</v>
      </c>
      <c r="G32" s="47">
        <f>F37</f>
        <v>282975.60692208906</v>
      </c>
      <c r="H32" s="47">
        <f>G37</f>
        <v>468039.36525367829</v>
      </c>
      <c r="I32" s="47">
        <f>H37</f>
        <v>875908.36209072417</v>
      </c>
      <c r="J32" s="47">
        <f>I37</f>
        <v>1402050.919600799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</row>
    <row r="33" spans="1:30" ht="14.5">
      <c r="A33" s="6"/>
      <c r="B33" s="45" t="s">
        <v>239</v>
      </c>
      <c r="C33" s="6"/>
      <c r="D33" s="6"/>
      <c r="E33" s="6"/>
      <c r="F33" s="47">
        <f>Income_Statement!F21</f>
        <v>217363.42246000003</v>
      </c>
      <c r="G33" s="47">
        <f>Income_Statement!G21</f>
        <v>338687.17574150476</v>
      </c>
      <c r="H33" s="47">
        <f>Income_Statement!H21</f>
        <v>461662.03615972551</v>
      </c>
      <c r="I33" s="47">
        <f>Income_Statement!I21</f>
        <v>574804.90417170618</v>
      </c>
      <c r="J33" s="47">
        <f>Income_Statement!J21</f>
        <v>666712.74945142108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</row>
    <row r="34" spans="1:30" ht="14.5">
      <c r="A34" s="6"/>
      <c r="B34" s="45" t="s">
        <v>240</v>
      </c>
      <c r="C34" s="6"/>
      <c r="D34" s="6"/>
      <c r="E34" s="6"/>
      <c r="F34" s="47">
        <f>Income_Statement!F30</f>
        <v>9112.8093749999989</v>
      </c>
      <c r="G34" s="47">
        <f>Income_Statement!G30</f>
        <v>14460.360297187501</v>
      </c>
      <c r="H34" s="47">
        <f>Income_Statement!H30</f>
        <v>20058.657966025661</v>
      </c>
      <c r="I34" s="47">
        <f>Income_Statement!I30</f>
        <v>25146.020938165253</v>
      </c>
      <c r="J34" s="47">
        <f>Income_Statement!J30</f>
        <v>29309.732008790339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</row>
    <row r="35" spans="1:30" ht="14.5">
      <c r="A35" s="6"/>
      <c r="B35" s="45" t="s">
        <v>158</v>
      </c>
      <c r="C35" s="6"/>
      <c r="D35" s="6"/>
      <c r="E35" s="6"/>
      <c r="F35" s="47">
        <f>-Cash_Flow!F21</f>
        <v>82246.624912910978</v>
      </c>
      <c r="G35" s="47">
        <f>-Cash_Flow!G21</f>
        <v>143880.80494623943</v>
      </c>
      <c r="H35" s="47">
        <f>-Cash_Flow!H21</f>
        <v>50000</v>
      </c>
      <c r="I35" s="47">
        <f>-Cash_Flow!I21</f>
        <v>50000</v>
      </c>
      <c r="J35" s="47">
        <f>-Cash_Flow!J21</f>
        <v>50000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</row>
    <row r="36" spans="1:30" ht="14.5">
      <c r="A36" s="6"/>
      <c r="B36" s="45" t="s">
        <v>241</v>
      </c>
      <c r="C36" s="6"/>
      <c r="D36" s="6"/>
      <c r="E36" s="6"/>
      <c r="F36" s="47">
        <f>Assumptions!$C$38+E40*Assumptions!$C$30*2</f>
        <v>18547</v>
      </c>
      <c r="G36" s="47">
        <f>F40*Div_Per_Share</f>
        <v>24202.972760863457</v>
      </c>
      <c r="H36" s="47">
        <f>G40*Div_Per_Share</f>
        <v>23851.697288705305</v>
      </c>
      <c r="I36" s="47">
        <f>H40*Div_Per_Share</f>
        <v>23808.367599796456</v>
      </c>
      <c r="J36" s="47">
        <f>I40*Div_Per_Share</f>
        <v>23785.527779095537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</row>
    <row r="37" spans="1:30" ht="14.5">
      <c r="A37" s="6"/>
      <c r="B37" s="41" t="s">
        <v>242</v>
      </c>
      <c r="C37" s="60">
        <f>Historical_Data!C52</f>
        <v>42978</v>
      </c>
      <c r="D37" s="60">
        <f>Historical_Data!D52</f>
        <v>79327</v>
      </c>
      <c r="E37" s="60">
        <f>Historical_Data!E52</f>
        <v>157293</v>
      </c>
      <c r="F37" s="50">
        <f>F32+F33+F34-F35-F36</f>
        <v>282975.60692208906</v>
      </c>
      <c r="G37" s="50">
        <f>G32+G33+G34-G35-G36</f>
        <v>468039.36525367829</v>
      </c>
      <c r="H37" s="50">
        <f>H32+H33+H34-H35-H36</f>
        <v>875908.36209072417</v>
      </c>
      <c r="I37" s="50">
        <f>I32+I33+I34-I35-I36</f>
        <v>1402050.919600799</v>
      </c>
      <c r="J37" s="50">
        <f>J32+J33+J34-J35-J36</f>
        <v>2024287.8732819145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</row>
    <row r="38" spans="1:30" ht="14.5">
      <c r="A38" s="6"/>
      <c r="B38" s="6"/>
      <c r="C38" s="6"/>
      <c r="D38" s="6"/>
      <c r="E38" s="6"/>
      <c r="F38" s="6"/>
      <c r="G38" s="6"/>
      <c r="H38" s="6"/>
      <c r="I38" s="6"/>
      <c r="J38" s="6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</row>
    <row r="39" spans="1:30" ht="14.5">
      <c r="A39" s="6"/>
      <c r="B39" s="40" t="s">
        <v>243</v>
      </c>
      <c r="C39" s="8"/>
      <c r="D39" s="8"/>
      <c r="E39" s="8"/>
      <c r="F39" s="8"/>
      <c r="G39" s="8"/>
      <c r="H39" s="8"/>
      <c r="I39" s="8"/>
      <c r="J39" s="8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</row>
    <row r="40" spans="1:30" ht="14.5">
      <c r="A40" s="6"/>
      <c r="B40" s="45" t="s">
        <v>203</v>
      </c>
      <c r="C40" s="54">
        <f>Historical_Data!C54</f>
        <v>24940</v>
      </c>
      <c r="D40" s="54">
        <f>Historical_Data!D54</f>
        <v>24804</v>
      </c>
      <c r="E40" s="54">
        <f>Historical_Data!E54</f>
        <v>24514</v>
      </c>
      <c r="F40" s="55">
        <f>E40-Cash_Flow!F36+SBC_Shares</f>
        <v>24202.972760863457</v>
      </c>
      <c r="G40" s="55">
        <f>F40-Cash_Flow!G36+SBC_Shares</f>
        <v>23851.697288705305</v>
      </c>
      <c r="H40" s="55">
        <f>G40-Cash_Flow!H36+SBC_Shares</f>
        <v>23808.367599796456</v>
      </c>
      <c r="I40" s="55">
        <f>H40-Cash_Flow!I36+SBC_Shares</f>
        <v>23785.527779095537</v>
      </c>
      <c r="J40" s="55">
        <f>I40-Cash_Flow!J36+SBC_Shares</f>
        <v>23774.176127882427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</row>
    <row r="41" spans="1:30" ht="14.5">
      <c r="A41" s="6"/>
      <c r="B41" s="6"/>
      <c r="C41" s="6"/>
      <c r="D41" s="6"/>
      <c r="E41" s="6"/>
      <c r="F41" s="6"/>
      <c r="G41" s="6"/>
      <c r="H41" s="6"/>
      <c r="I41" s="6"/>
      <c r="J41" s="6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</row>
    <row r="42" spans="1:30" ht="14.5">
      <c r="A42" s="6"/>
      <c r="B42" s="6"/>
      <c r="C42" s="6"/>
      <c r="D42" s="6"/>
      <c r="E42" s="6"/>
      <c r="F42" s="6"/>
      <c r="G42" s="6"/>
      <c r="H42" s="6"/>
      <c r="I42" s="6"/>
      <c r="J42" s="6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</row>
    <row r="43" spans="1:30" ht="14.5">
      <c r="A43" s="6"/>
      <c r="B43" s="41" t="s">
        <v>244</v>
      </c>
      <c r="C43" s="50">
        <f t="shared" ref="C43:J43" si="6">C26+C37</f>
        <v>65728</v>
      </c>
      <c r="D43" s="50">
        <f t="shared" si="6"/>
        <v>111601</v>
      </c>
      <c r="E43" s="50">
        <f t="shared" si="6"/>
        <v>206803</v>
      </c>
      <c r="F43" s="50">
        <f t="shared" si="6"/>
        <v>363318.00760702055</v>
      </c>
      <c r="G43" s="50">
        <f t="shared" si="6"/>
        <v>559469.56308390084</v>
      </c>
      <c r="H43" s="50">
        <f t="shared" si="6"/>
        <v>975156.86211378942</v>
      </c>
      <c r="I43" s="50">
        <f t="shared" si="6"/>
        <v>1510317.0457722875</v>
      </c>
      <c r="J43" s="50">
        <f t="shared" si="6"/>
        <v>2142476.3817943316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</row>
    <row r="44" spans="1:30" ht="14.5">
      <c r="A44" s="6"/>
      <c r="B44" s="80" t="s">
        <v>439</v>
      </c>
      <c r="C44" s="61">
        <f t="shared" ref="C44:J44" si="7">C17-C43</f>
        <v>0</v>
      </c>
      <c r="D44" s="61">
        <f t="shared" si="7"/>
        <v>0</v>
      </c>
      <c r="E44" s="61">
        <f t="shared" si="7"/>
        <v>0</v>
      </c>
      <c r="F44" s="62">
        <f t="shared" si="7"/>
        <v>0</v>
      </c>
      <c r="G44" s="62">
        <f t="shared" si="7"/>
        <v>0</v>
      </c>
      <c r="H44" s="62">
        <f t="shared" si="7"/>
        <v>0</v>
      </c>
      <c r="I44" s="62">
        <f t="shared" si="7"/>
        <v>0</v>
      </c>
      <c r="J44" s="62">
        <f t="shared" si="7"/>
        <v>0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</row>
  </sheetData>
  <pageMargins left="0.74803149606299213" right="0.74803149606299213" top="0.98425196850393704" bottom="0.98425196850393704" header="0.51181102362204722" footer="0.51181102362204722"/>
  <pageSetup paperSize="9" orientation="landscape" horizontalDpi="300" verticalDpi="300" r:id="rId1"/>
  <headerFooter>
    <oddHeader>&amp;R&amp;"Arial,Bold"BASE CASE</oddHeader>
    <oddFooter>&amp;RResearch by T Ghiyas Kausara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rgb="FFA5A5A5"/>
  </sheetPr>
  <dimension ref="A1:AD38"/>
  <sheetViews>
    <sheetView showGridLines="0" view="pageBreakPreview" zoomScale="55" zoomScaleNormal="100" zoomScaleSheetLayoutView="55" workbookViewId="0">
      <selection activeCell="I22" sqref="I22"/>
    </sheetView>
  </sheetViews>
  <sheetFormatPr defaultColWidth="8.58203125" defaultRowHeight="14"/>
  <cols>
    <col min="1" max="1" width="2.5" customWidth="1"/>
    <col min="2" max="2" width="40.4140625" customWidth="1"/>
    <col min="3" max="10" width="13.75" customWidth="1"/>
  </cols>
  <sheetData>
    <row r="1" spans="1:30" ht="14.5">
      <c r="A1" s="1"/>
      <c r="B1" s="1"/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21.75" customHeight="1">
      <c r="A2" s="1"/>
      <c r="B2" s="3" t="s">
        <v>245</v>
      </c>
      <c r="C2" s="1"/>
      <c r="D2" s="1"/>
      <c r="E2" s="1"/>
      <c r="F2" s="1"/>
      <c r="G2" s="1"/>
      <c r="H2" s="1"/>
      <c r="I2" s="1"/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5">
      <c r="A3" s="1"/>
      <c r="B3" s="107" t="s">
        <v>351</v>
      </c>
      <c r="C3" s="1"/>
      <c r="D3" s="1"/>
      <c r="E3" s="1"/>
      <c r="F3" s="1"/>
      <c r="G3" s="1"/>
      <c r="H3" s="1"/>
      <c r="I3" s="1"/>
      <c r="J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5">
      <c r="A4" s="6"/>
      <c r="B4" s="74"/>
      <c r="C4" s="6"/>
      <c r="D4" s="6"/>
      <c r="E4" s="6"/>
      <c r="F4" s="6"/>
      <c r="G4" s="6"/>
      <c r="H4" s="6"/>
      <c r="I4" s="6"/>
      <c r="J4" s="6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ht="14.5">
      <c r="A5" s="6"/>
      <c r="B5" s="38" t="s">
        <v>179</v>
      </c>
      <c r="C5" s="30" t="s">
        <v>64</v>
      </c>
      <c r="D5" s="30" t="s">
        <v>65</v>
      </c>
      <c r="E5" s="104" t="s">
        <v>347</v>
      </c>
      <c r="F5" s="30" t="s">
        <v>66</v>
      </c>
      <c r="G5" s="30" t="s">
        <v>67</v>
      </c>
      <c r="H5" s="30" t="s">
        <v>68</v>
      </c>
      <c r="I5" s="30" t="s">
        <v>69</v>
      </c>
      <c r="J5" s="104" t="s">
        <v>349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1:30" ht="14.5">
      <c r="A6" s="6"/>
      <c r="B6" s="6"/>
      <c r="C6" s="6"/>
      <c r="D6" s="6"/>
      <c r="E6" s="6"/>
      <c r="F6" s="6"/>
      <c r="G6" s="6"/>
      <c r="H6" s="6"/>
      <c r="I6" s="6"/>
      <c r="J6" s="6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ht="14.5">
      <c r="A7" s="6"/>
      <c r="B7" s="40" t="s">
        <v>246</v>
      </c>
      <c r="C7" s="8"/>
      <c r="D7" s="8"/>
      <c r="E7" s="8"/>
      <c r="F7" s="8"/>
      <c r="G7" s="8"/>
      <c r="H7" s="8"/>
      <c r="I7" s="8"/>
      <c r="J7" s="8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ht="14.5">
      <c r="A8" s="6"/>
      <c r="B8" s="45" t="s">
        <v>146</v>
      </c>
      <c r="C8" s="43">
        <f>Historical_Data!C17</f>
        <v>29760</v>
      </c>
      <c r="D8" s="43">
        <f>Historical_Data!D17</f>
        <v>72880</v>
      </c>
      <c r="E8" s="43">
        <f>Historical_Data!E17</f>
        <v>120067</v>
      </c>
      <c r="F8" s="47">
        <f>Income_Statement!F21</f>
        <v>217363.42246000003</v>
      </c>
      <c r="G8" s="47">
        <f>Income_Statement!G21</f>
        <v>338687.17574150476</v>
      </c>
      <c r="H8" s="47">
        <f>Income_Statement!H21</f>
        <v>461662.03615972551</v>
      </c>
      <c r="I8" s="47">
        <f>Income_Statement!I21</f>
        <v>574804.90417170618</v>
      </c>
      <c r="J8" s="47">
        <f>Income_Statement!J21</f>
        <v>666712.74945142108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</row>
    <row r="9" spans="1:30" ht="14.5">
      <c r="A9" s="6"/>
      <c r="B9" s="45" t="s">
        <v>247</v>
      </c>
      <c r="C9" s="43">
        <f>Historical_Data!C27</f>
        <v>1508</v>
      </c>
      <c r="D9" s="43">
        <f>Historical_Data!D27</f>
        <v>1864</v>
      </c>
      <c r="E9" s="43">
        <f>Historical_Data!E27</f>
        <v>2843</v>
      </c>
      <c r="F9" s="47">
        <f>Balance_Sheet!E14*Assumptions!$C$35+(-F15)*Assumptions!$C$35/2</f>
        <v>5760.372187500001</v>
      </c>
      <c r="G9" s="47">
        <f>Balance_Sheet!F14*Assumptions!$C$35+(-G15)*Assumptions!$C$35/2</f>
        <v>9244.6481787187513</v>
      </c>
      <c r="H9" s="47">
        <f>Balance_Sheet!G14*Assumptions!$C$35+(-H15)*Assumptions!$C$35/2</f>
        <v>14063.458910916926</v>
      </c>
      <c r="I9" s="47">
        <f>Balance_Sheet!H14*Assumptions!$C$35+(-I15)*Assumptions!$C$35/2</f>
        <v>19689.006703073883</v>
      </c>
      <c r="J9" s="47">
        <f>Balance_Sheet!I14*Assumptions!$C$35+(-J15)*Assumptions!$C$35/2</f>
        <v>25504.196711287659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ht="14.5">
      <c r="A10" s="6"/>
      <c r="B10" s="45" t="s">
        <v>248</v>
      </c>
      <c r="C10" s="43">
        <f>Historical_Data!C28</f>
        <v>3549</v>
      </c>
      <c r="D10" s="43">
        <f>Historical_Data!D28</f>
        <v>4737</v>
      </c>
      <c r="E10" s="43">
        <f>Historical_Data!E28</f>
        <v>6386</v>
      </c>
      <c r="F10" s="47">
        <f>Income_Statement!F30</f>
        <v>9112.8093749999989</v>
      </c>
      <c r="G10" s="47">
        <f>Income_Statement!G30</f>
        <v>14460.360297187501</v>
      </c>
      <c r="H10" s="47">
        <f>Income_Statement!H30</f>
        <v>20058.657966025661</v>
      </c>
      <c r="I10" s="47">
        <f>Income_Statement!I30</f>
        <v>25146.020938165253</v>
      </c>
      <c r="J10" s="47">
        <f>Income_Statement!J30</f>
        <v>29309.732008790339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ht="14.5">
      <c r="A11" s="6"/>
      <c r="B11" s="45" t="s">
        <v>311</v>
      </c>
      <c r="C11" s="43">
        <f>Historical_Data!C29-SUM(Cash_Flow!C8:C10)</f>
        <v>-6727</v>
      </c>
      <c r="D11" s="43">
        <f>Historical_Data!D29-SUM(Cash_Flow!D8:D10)</f>
        <v>-15392</v>
      </c>
      <c r="E11" s="43">
        <f>Historical_Data!E29-SUM(Cash_Flow!E8:E10)</f>
        <v>-26578</v>
      </c>
      <c r="F11" s="47">
        <f>-Working_Capital!F19</f>
        <v>-49809.404109589042</v>
      </c>
      <c r="G11" s="47">
        <f>-Working_Capital!G19</f>
        <v>-60364.072242808194</v>
      </c>
      <c r="H11" s="47">
        <f>-Working_Capital!H19</f>
        <v>-64475.341958027217</v>
      </c>
      <c r="I11" s="47">
        <f>-Working_Capital!I19</f>
        <v>-60052.77496194921</v>
      </c>
      <c r="J11" s="47">
        <f>-Working_Capital!J19</f>
        <v>-50719.617848027148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</row>
    <row r="12" spans="1:30" ht="14.5">
      <c r="A12" s="6"/>
      <c r="B12" s="41" t="s">
        <v>249</v>
      </c>
      <c r="C12" s="73">
        <f>SUM(C8:C11)</f>
        <v>28090</v>
      </c>
      <c r="D12" s="73">
        <f>SUM(D8:D11)</f>
        <v>64089</v>
      </c>
      <c r="E12" s="73">
        <f>SUM(E8:E11)</f>
        <v>102718</v>
      </c>
      <c r="F12" s="49">
        <f t="shared" ref="F12:J12" si="0">F8+F9+F10+F11</f>
        <v>182427.19991291099</v>
      </c>
      <c r="G12" s="49">
        <f t="shared" si="0"/>
        <v>302028.11197460286</v>
      </c>
      <c r="H12" s="49">
        <f t="shared" si="0"/>
        <v>431308.81107864087</v>
      </c>
      <c r="I12" s="49">
        <f t="shared" si="0"/>
        <v>559587.15685099608</v>
      </c>
      <c r="J12" s="49">
        <f t="shared" si="0"/>
        <v>670807.06032347202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ht="14.5">
      <c r="A13" s="6"/>
      <c r="B13" s="6"/>
      <c r="C13" s="6"/>
      <c r="D13" s="6"/>
      <c r="E13" s="6"/>
      <c r="F13" s="6"/>
      <c r="G13" s="6"/>
      <c r="H13" s="6"/>
      <c r="I13" s="6"/>
      <c r="J13" s="6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ht="14.5">
      <c r="A14" s="6"/>
      <c r="B14" s="40" t="s">
        <v>250</v>
      </c>
      <c r="C14" s="8"/>
      <c r="D14" s="8"/>
      <c r="E14" s="8"/>
      <c r="F14" s="8"/>
      <c r="G14" s="8"/>
      <c r="H14" s="8"/>
      <c r="I14" s="8"/>
      <c r="J14" s="8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</row>
    <row r="15" spans="1:30" ht="14.5">
      <c r="A15" s="6"/>
      <c r="B15" s="45" t="s">
        <v>157</v>
      </c>
      <c r="C15" s="43">
        <f>-Historical_Data!C30</f>
        <v>-1069</v>
      </c>
      <c r="D15" s="43">
        <f>-Historical_Data!D30</f>
        <v>-3236</v>
      </c>
      <c r="E15" s="43">
        <f>-Historical_Data!E30</f>
        <v>-6042</v>
      </c>
      <c r="F15" s="47">
        <f>-Income_Statement!F7*Capex_Pct</f>
        <v>-12150.4125</v>
      </c>
      <c r="G15" s="47">
        <f>-Income_Statement!G7*Capex_Pct</f>
        <v>-19280.480396250001</v>
      </c>
      <c r="H15" s="47">
        <f>-Income_Statement!H7*Capex_Pct</f>
        <v>-26744.877288034215</v>
      </c>
      <c r="I15" s="47">
        <f>-Income_Statement!I7*Capex_Pct</f>
        <v>-33528.027917553671</v>
      </c>
      <c r="J15" s="47">
        <f>-Income_Statement!J7*Capex_Pct</f>
        <v>-39079.642678387121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ht="14.5">
      <c r="A16" s="6"/>
      <c r="B16" s="144" t="s">
        <v>375</v>
      </c>
      <c r="C16" s="43"/>
      <c r="D16" s="43"/>
      <c r="E16" s="43"/>
      <c r="F16" s="47">
        <f>Capital_allocation!C17</f>
        <v>-21687.062500000004</v>
      </c>
      <c r="G16" s="47">
        <f>Capital_allocation!D17</f>
        <v>-35650.339481249976</v>
      </c>
      <c r="H16" s="47">
        <f>Capital_allocation!E17</f>
        <v>-236057.17812381015</v>
      </c>
      <c r="I16" s="47">
        <f>Capital_allocation!F17</f>
        <v>-350662.35965492739</v>
      </c>
      <c r="J16" s="47">
        <f>Capital_allocation!G17</f>
        <v>-451637.58383710007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ht="14.5">
      <c r="A17" s="6"/>
      <c r="B17" s="144" t="s">
        <v>376</v>
      </c>
      <c r="C17" s="43"/>
      <c r="D17" s="43"/>
      <c r="E17" s="43"/>
      <c r="F17" s="47">
        <f>-Capital_allocation!C9</f>
        <v>-50000</v>
      </c>
      <c r="G17" s="47">
        <f>-Capital_allocation!D9</f>
        <v>-60000</v>
      </c>
      <c r="H17" s="47">
        <f>-Capital_allocation!E9</f>
        <v>-70000</v>
      </c>
      <c r="I17" s="47">
        <f>-Capital_allocation!F9</f>
        <v>-80000</v>
      </c>
      <c r="J17" s="47">
        <f>-Capital_allocation!G9</f>
        <v>-90000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</row>
    <row r="18" spans="1:30" ht="14.5">
      <c r="A18" s="6"/>
      <c r="B18" s="41" t="s">
        <v>251</v>
      </c>
      <c r="C18" s="48">
        <f>Historical_Data!C31</f>
        <v>-10566</v>
      </c>
      <c r="D18" s="48">
        <f>Historical_Data!D31</f>
        <v>-20421</v>
      </c>
      <c r="E18" s="48">
        <f>Historical_Data!E31</f>
        <v>-52228</v>
      </c>
      <c r="F18" s="49">
        <f>F15+F16+F17</f>
        <v>-83837.475000000006</v>
      </c>
      <c r="G18" s="49">
        <f>G15+G16+G17</f>
        <v>-114930.81987749998</v>
      </c>
      <c r="H18" s="49">
        <f>H15+H16+H17</f>
        <v>-332802.0554118444</v>
      </c>
      <c r="I18" s="49">
        <f>I15+I16+I17</f>
        <v>-464190.38757248106</v>
      </c>
      <c r="J18" s="49">
        <f>J15+J16+J17</f>
        <v>-580717.22651548719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</row>
    <row r="19" spans="1:30" ht="14.5">
      <c r="A19" s="6"/>
      <c r="B19" s="6"/>
      <c r="C19" s="6"/>
      <c r="D19" s="6"/>
      <c r="E19" s="6"/>
      <c r="F19" s="6"/>
      <c r="G19" s="6"/>
      <c r="H19" s="6"/>
      <c r="I19" s="6"/>
      <c r="J19" s="6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</row>
    <row r="20" spans="1:30" ht="14.5">
      <c r="A20" s="6"/>
      <c r="B20" s="40" t="s">
        <v>252</v>
      </c>
      <c r="C20" s="8"/>
      <c r="D20" s="8"/>
      <c r="E20" s="8"/>
      <c r="F20" s="8"/>
      <c r="G20" s="8"/>
      <c r="H20" s="8"/>
      <c r="I20" s="8"/>
      <c r="J20" s="8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</row>
    <row r="21" spans="1:30" ht="14.5">
      <c r="A21" s="6"/>
      <c r="B21" s="45" t="s">
        <v>158</v>
      </c>
      <c r="C21" s="43">
        <f>-Historical_Data!C32</f>
        <v>-9533</v>
      </c>
      <c r="D21" s="43">
        <f>-Historical_Data!D32</f>
        <v>-33706</v>
      </c>
      <c r="E21" s="43">
        <f>-Historical_Data!E32</f>
        <v>-40086</v>
      </c>
      <c r="F21" s="47">
        <f>-Capital_allocation!C13</f>
        <v>-82246.624912910978</v>
      </c>
      <c r="G21" s="47">
        <f>-Capital_allocation!D13</f>
        <v>-143880.80494623943</v>
      </c>
      <c r="H21" s="47">
        <f>-Capital_allocation!E13</f>
        <v>-50000</v>
      </c>
      <c r="I21" s="47">
        <f>-Capital_allocation!F13</f>
        <v>-50000</v>
      </c>
      <c r="J21" s="47">
        <f>-Capital_allocation!G13</f>
        <v>-50000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ht="14.5">
      <c r="A22" s="6"/>
      <c r="B22" s="45" t="s">
        <v>159</v>
      </c>
      <c r="C22" s="43">
        <f>-Historical_Data!C33</f>
        <v>-395</v>
      </c>
      <c r="D22" s="43">
        <f>-Historical_Data!D33</f>
        <v>-834</v>
      </c>
      <c r="E22" s="43">
        <f>-Historical_Data!E33</f>
        <v>-974</v>
      </c>
      <c r="F22" s="47">
        <f>-Balance_Sheet!F36</f>
        <v>-18547</v>
      </c>
      <c r="G22" s="47">
        <f>-Balance_Sheet!G36</f>
        <v>-24202.972760863457</v>
      </c>
      <c r="H22" s="47">
        <f>-Balance_Sheet!H36</f>
        <v>-23851.697288705305</v>
      </c>
      <c r="I22" s="47">
        <f>-Balance_Sheet!I36</f>
        <v>-23808.367599796456</v>
      </c>
      <c r="J22" s="47">
        <f>-Balance_Sheet!J36</f>
        <v>-23785.527779095537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ht="14.5">
      <c r="A23" s="6"/>
      <c r="B23" s="80" t="s">
        <v>377</v>
      </c>
      <c r="C23" s="43">
        <f>Debt_Schedule!C9-Debt_Schedule!C10</f>
        <v>-1250</v>
      </c>
      <c r="D23" s="43">
        <f>Debt_Schedule!D9-Debt_Schedule!D10</f>
        <v>-1250</v>
      </c>
      <c r="E23" s="43">
        <f>Debt_Schedule!E9-Debt_Schedule!E10</f>
        <v>0</v>
      </c>
      <c r="F23" s="47">
        <f>Debt_Schedule!F9-Debt_Schedule!F10</f>
        <v>24000</v>
      </c>
      <c r="G23" s="47">
        <f>Debt_Schedule!G9-Debt_Schedule!G10</f>
        <v>0</v>
      </c>
      <c r="H23" s="47">
        <f>Debt_Schedule!H9-Debt_Schedule!H10</f>
        <v>-4750</v>
      </c>
      <c r="I23" s="47">
        <f>Debt_Schedule!I9-Debt_Schedule!I10</f>
        <v>-3500</v>
      </c>
      <c r="J23" s="47">
        <f>Debt_Schedule!J9-Debt_Schedule!J10</f>
        <v>-1500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</row>
    <row r="24" spans="1:30" ht="14.5">
      <c r="B24" s="80" t="s">
        <v>378</v>
      </c>
      <c r="C24" s="43">
        <f>Historical_Data!C34-SUM(C21:C23)</f>
        <v>-2455</v>
      </c>
      <c r="D24" s="43">
        <f>Historical_Data!D34-SUM(D21:D23)</f>
        <v>-6569</v>
      </c>
      <c r="E24" s="43">
        <f>Historical_Data!E34-SUM(E21:E23)</f>
        <v>-7414</v>
      </c>
      <c r="F24">
        <v>0</v>
      </c>
      <c r="G24">
        <v>0</v>
      </c>
      <c r="H24">
        <v>0</v>
      </c>
      <c r="I24">
        <v>0</v>
      </c>
      <c r="J24">
        <v>0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ht="14.5">
      <c r="A25" s="6"/>
      <c r="B25" s="41" t="s">
        <v>253</v>
      </c>
      <c r="C25" s="48">
        <f>C21+C22+C23+C24</f>
        <v>-13633</v>
      </c>
      <c r="D25" s="48">
        <f>D21+D22+D23+D24</f>
        <v>-42359</v>
      </c>
      <c r="E25" s="48">
        <f>E21+E22+E23+E24</f>
        <v>-48474</v>
      </c>
      <c r="F25" s="49">
        <f>F21+F22+F23+F24</f>
        <v>-76793.624912910978</v>
      </c>
      <c r="G25" s="49">
        <f t="shared" ref="G25:J25" si="1">G21+G22+G23+G24</f>
        <v>-168083.77770710288</v>
      </c>
      <c r="H25" s="49">
        <f t="shared" si="1"/>
        <v>-78601.697288705298</v>
      </c>
      <c r="I25" s="49">
        <f t="shared" si="1"/>
        <v>-77308.36759979646</v>
      </c>
      <c r="J25" s="49">
        <f t="shared" si="1"/>
        <v>-75285.527779095544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ht="14.5">
      <c r="A26" s="6"/>
      <c r="B26" s="151" t="s">
        <v>314</v>
      </c>
      <c r="C26" s="6"/>
      <c r="D26" s="6"/>
      <c r="E26" s="6"/>
      <c r="F26" s="79">
        <f>F30+F12+F15+F25</f>
        <v>104088.16250000001</v>
      </c>
      <c r="G26" s="79">
        <f>G30+G12+G15+G25</f>
        <v>147064.95387124998</v>
      </c>
      <c r="H26" s="79">
        <f>H30+H12+H15+H25</f>
        <v>377376.85089190141</v>
      </c>
      <c r="I26" s="79">
        <f>I30+I12+I15+I25</f>
        <v>520070.43410173716</v>
      </c>
      <c r="J26" s="79">
        <f>J30+J12+J15+J25</f>
        <v>645849.96431279904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</row>
    <row r="27" spans="1:30" ht="14.5">
      <c r="A27" s="6"/>
      <c r="B27" s="151"/>
      <c r="C27" s="6"/>
      <c r="D27" s="6"/>
      <c r="E27" s="6"/>
      <c r="F27" s="79"/>
      <c r="G27" s="79"/>
      <c r="H27" s="79"/>
      <c r="I27" s="79"/>
      <c r="J27" s="79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  <row r="28" spans="1:30" ht="14.5">
      <c r="A28" s="6"/>
      <c r="B28" s="40" t="s">
        <v>254</v>
      </c>
      <c r="C28" s="8"/>
      <c r="D28" s="8"/>
      <c r="E28" s="8"/>
      <c r="F28" s="8"/>
      <c r="G28" s="8"/>
      <c r="H28" s="8"/>
      <c r="I28" s="8"/>
      <c r="J28" s="8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</row>
    <row r="29" spans="1:30" ht="14.5">
      <c r="A29" s="6"/>
      <c r="B29" s="45" t="s">
        <v>255</v>
      </c>
      <c r="C29" s="43">
        <f t="shared" ref="C29:J29" si="2">C12+C18+C25</f>
        <v>3891</v>
      </c>
      <c r="D29" s="43">
        <f t="shared" si="2"/>
        <v>1309</v>
      </c>
      <c r="E29" s="43">
        <f t="shared" si="2"/>
        <v>2016</v>
      </c>
      <c r="F29" s="47">
        <f t="shared" si="2"/>
        <v>21796.100000000006</v>
      </c>
      <c r="G29" s="47">
        <f t="shared" si="2"/>
        <v>19013.514389999997</v>
      </c>
      <c r="H29" s="47">
        <f t="shared" si="2"/>
        <v>19905.058378091169</v>
      </c>
      <c r="I29" s="47">
        <f t="shared" si="2"/>
        <v>18088.401678718554</v>
      </c>
      <c r="J29" s="47">
        <f t="shared" si="2"/>
        <v>14804.306028889288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</row>
    <row r="30" spans="1:30" ht="14.5">
      <c r="A30" s="6"/>
      <c r="B30" s="45" t="s">
        <v>256</v>
      </c>
      <c r="C30" s="43">
        <f>Historical_Data!C35</f>
        <v>3389</v>
      </c>
      <c r="D30" s="43">
        <f>Historical_Data!C39</f>
        <v>7280</v>
      </c>
      <c r="E30" s="43">
        <f>Historical_Data!D39</f>
        <v>8589</v>
      </c>
      <c r="F30" s="47">
        <f>Historical_Data!E39</f>
        <v>10605</v>
      </c>
      <c r="G30" s="47">
        <f>F31</f>
        <v>32401.100000000006</v>
      </c>
      <c r="H30" s="47">
        <f>G31</f>
        <v>51414.614390000002</v>
      </c>
      <c r="I30" s="47">
        <f>H31</f>
        <v>71319.672768091172</v>
      </c>
      <c r="J30" s="47">
        <f>I31</f>
        <v>89408.074446809725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</row>
    <row r="31" spans="1:30" ht="14.5">
      <c r="A31" s="6"/>
      <c r="B31" s="41" t="s">
        <v>257</v>
      </c>
      <c r="C31" s="52">
        <f>Historical_Data!C39</f>
        <v>7280</v>
      </c>
      <c r="D31" s="52">
        <f>Historical_Data!D39</f>
        <v>8589</v>
      </c>
      <c r="E31" s="52">
        <f>Historical_Data!E39</f>
        <v>10605</v>
      </c>
      <c r="F31" s="49">
        <f>F30+F29</f>
        <v>32401.100000000006</v>
      </c>
      <c r="G31" s="49">
        <f>G30+G29</f>
        <v>51414.614390000002</v>
      </c>
      <c r="H31" s="49">
        <f>H30+H29</f>
        <v>71319.672768091172</v>
      </c>
      <c r="I31" s="49">
        <f>I30+I29</f>
        <v>89408.074446809725</v>
      </c>
      <c r="J31" s="49">
        <f>J30+J29</f>
        <v>104212.38047569901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</row>
    <row r="32" spans="1:30" ht="14.5">
      <c r="A32" s="6"/>
      <c r="F32" s="8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</row>
    <row r="33" spans="1:30" ht="14.5">
      <c r="A33" s="6"/>
      <c r="B33" s="113" t="s">
        <v>373</v>
      </c>
      <c r="C33" s="63">
        <f t="shared" ref="C33:J33" si="3">C12+C15</f>
        <v>27021</v>
      </c>
      <c r="D33" s="63">
        <f t="shared" si="3"/>
        <v>60853</v>
      </c>
      <c r="E33" s="63">
        <f t="shared" si="3"/>
        <v>96676</v>
      </c>
      <c r="F33" s="64">
        <f t="shared" si="3"/>
        <v>170276.78741291098</v>
      </c>
      <c r="G33" s="64">
        <f t="shared" si="3"/>
        <v>282747.63157835288</v>
      </c>
      <c r="H33" s="64">
        <f t="shared" si="3"/>
        <v>404563.93379060668</v>
      </c>
      <c r="I33" s="64">
        <f t="shared" si="3"/>
        <v>526059.12893344241</v>
      </c>
      <c r="J33" s="64">
        <f t="shared" si="3"/>
        <v>631727.4176450849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</row>
    <row r="34" spans="1:30" ht="14.5">
      <c r="A34" s="6"/>
      <c r="B34" s="57"/>
      <c r="C34" s="57"/>
      <c r="D34" s="57"/>
      <c r="E34" s="57"/>
      <c r="F34" s="64"/>
      <c r="G34" s="64"/>
      <c r="H34" s="64"/>
      <c r="I34" s="64"/>
      <c r="J34" s="64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</row>
    <row r="35" spans="1:30">
      <c r="B35" s="89" t="s">
        <v>374</v>
      </c>
      <c r="F35" s="90">
        <f>(Income_Statement!F21/Balance_Sheet!E40)*Target_PE</f>
        <v>221.67274053602029</v>
      </c>
      <c r="G35" s="90">
        <f>(Income_Statement!G21/Balance_Sheet!F40)*Target_PE</f>
        <v>349.84047113539566</v>
      </c>
      <c r="H35" s="90">
        <f>(Income_Statement!H21/Balance_Sheet!G40)*Target_PE</f>
        <v>483.88803380707441</v>
      </c>
      <c r="I35" s="90">
        <f>(Income_Statement!I21/Balance_Sheet!H40)*Target_PE</f>
        <v>603.57445944406152</v>
      </c>
      <c r="J35" s="90">
        <f>(Income_Statement!J21/Balance_Sheet!I40)*Target_PE</f>
        <v>700.75463076057645</v>
      </c>
    </row>
    <row r="36" spans="1:30">
      <c r="B36" s="89" t="s">
        <v>326</v>
      </c>
      <c r="F36" s="90">
        <f>-F21/F35</f>
        <v>371.02723913654359</v>
      </c>
      <c r="G36" s="90">
        <f t="shared" ref="G36:J36" si="4">-G21/G35</f>
        <v>411.2754721581498</v>
      </c>
      <c r="H36" s="90">
        <f t="shared" si="4"/>
        <v>103.32968890884982</v>
      </c>
      <c r="I36" s="90">
        <f t="shared" si="4"/>
        <v>82.839820700918736</v>
      </c>
      <c r="J36" s="90">
        <f t="shared" si="4"/>
        <v>71.35165121310952</v>
      </c>
    </row>
    <row r="38" spans="1:30">
      <c r="B38" s="89" t="s">
        <v>312</v>
      </c>
      <c r="C38" s="75">
        <f t="shared" ref="C38:J38" si="5">C31-C30-C29</f>
        <v>0</v>
      </c>
      <c r="D38" s="75">
        <f t="shared" si="5"/>
        <v>0</v>
      </c>
      <c r="E38" s="75">
        <f t="shared" si="5"/>
        <v>0</v>
      </c>
      <c r="F38" s="86">
        <f t="shared" si="5"/>
        <v>0</v>
      </c>
      <c r="G38" s="86">
        <f t="shared" si="5"/>
        <v>0</v>
      </c>
      <c r="H38" s="86">
        <f t="shared" si="5"/>
        <v>0</v>
      </c>
      <c r="I38" s="86">
        <f t="shared" si="5"/>
        <v>0</v>
      </c>
      <c r="J38" s="86">
        <f t="shared" si="5"/>
        <v>0</v>
      </c>
    </row>
  </sheetData>
  <pageMargins left="0.74803149606299213" right="0.74803149606299213" top="0.98425196850393704" bottom="0.98425196850393704" header="0.51181102362204722" footer="0.51181102362204722"/>
  <pageSetup paperSize="9" scale="71" orientation="landscape" horizontalDpi="300" verticalDpi="300" r:id="rId1"/>
  <headerFooter>
    <oddHeader>&amp;R&amp;"Arial,Bold"BASE CASE</oddHeader>
    <oddFooter>&amp;RResearch by T Ghiyas Kausara</oddFooter>
  </headerFooter>
  <rowBreaks count="1" manualBreakCount="1">
    <brk id="38" max="9" man="1"/>
  </rowBreaks>
  <colBreaks count="1" manualBreakCount="1">
    <brk id="10" max="1048575" man="1"/>
  </colBreak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8AB81-5222-40ED-BE00-7149A3BF2ECB}">
  <sheetPr codeName="Sheet7">
    <tabColor rgb="FF0086EA"/>
  </sheetPr>
  <dimension ref="A1:Y17"/>
  <sheetViews>
    <sheetView view="pageBreakPreview" topLeftCell="B1" zoomScaleNormal="70" zoomScaleSheetLayoutView="100" workbookViewId="0">
      <selection activeCell="E12" sqref="E12"/>
    </sheetView>
  </sheetViews>
  <sheetFormatPr defaultRowHeight="14"/>
  <cols>
    <col min="1" max="1" width="2.9140625" customWidth="1"/>
    <col min="2" max="2" width="42.08203125" customWidth="1"/>
    <col min="3" max="7" width="14.1640625" customWidth="1"/>
  </cols>
  <sheetData>
    <row r="1" spans="1:25" ht="14.5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 ht="21.75" customHeight="1">
      <c r="A2" s="1"/>
      <c r="B2" s="116" t="s">
        <v>405</v>
      </c>
      <c r="C2" s="1"/>
      <c r="D2" s="1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1:25" ht="14.5">
      <c r="A3" s="1"/>
      <c r="B3" s="5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5" spans="1:25">
      <c r="B5" s="38" t="s">
        <v>179</v>
      </c>
      <c r="C5" s="30" t="s">
        <v>66</v>
      </c>
      <c r="D5" s="30" t="s">
        <v>67</v>
      </c>
      <c r="E5" s="30" t="s">
        <v>68</v>
      </c>
      <c r="F5" s="30" t="s">
        <v>69</v>
      </c>
      <c r="G5" s="104" t="s">
        <v>349</v>
      </c>
    </row>
    <row r="6" spans="1:25">
      <c r="B6" s="38"/>
      <c r="C6" s="39"/>
      <c r="D6" s="39"/>
      <c r="E6" s="39"/>
      <c r="F6" s="39"/>
      <c r="G6" s="143"/>
    </row>
    <row r="7" spans="1:25">
      <c r="B7" s="97" t="s">
        <v>384</v>
      </c>
      <c r="C7" s="152">
        <f>Cash_Flow!F30+Balance_Sheet!E9-Assumptions!$C$29</f>
        <v>49670</v>
      </c>
      <c r="D7" s="152">
        <f>Cash_Flow!G30+Balance_Sheet!F9-Assumptions!$C$29</f>
        <v>93153.162500000006</v>
      </c>
      <c r="E7" s="152">
        <f>Cash_Flow!H30+Balance_Sheet!G9-Assumptions!$C$29</f>
        <v>147817.01637124998</v>
      </c>
      <c r="F7" s="152">
        <f>Cash_Flow!I30+Balance_Sheet!H9-Assumptions!$C$29</f>
        <v>403779.25287315133</v>
      </c>
      <c r="G7" s="152">
        <f>Cash_Flow!J30+Balance_Sheet!I9-Assumptions!$C$29</f>
        <v>772530.01420679723</v>
      </c>
    </row>
    <row r="8" spans="1:25">
      <c r="B8" s="122" t="s">
        <v>385</v>
      </c>
      <c r="C8" s="152">
        <f>Cash_Flow!F33+Cash_Flow!F22</f>
        <v>151729.78741291098</v>
      </c>
      <c r="D8" s="152">
        <f>Cash_Flow!G33+Cash_Flow!G22</f>
        <v>258544.65881748943</v>
      </c>
      <c r="E8" s="152">
        <f>Cash_Flow!H33+Cash_Flow!H22</f>
        <v>380712.23650190135</v>
      </c>
      <c r="F8" s="152">
        <f>Cash_Flow!I33+Cash_Flow!I22</f>
        <v>502250.76133364596</v>
      </c>
      <c r="G8" s="152">
        <f>Cash_Flow!J33+Cash_Flow!J22</f>
        <v>607941.88986598933</v>
      </c>
    </row>
    <row r="9" spans="1:25">
      <c r="B9" s="144" t="s">
        <v>386</v>
      </c>
      <c r="C9" s="154">
        <v>50000</v>
      </c>
      <c r="D9" s="154">
        <v>60000</v>
      </c>
      <c r="E9" s="154">
        <v>70000</v>
      </c>
      <c r="F9" s="154">
        <v>80000</v>
      </c>
      <c r="G9" s="154">
        <v>90000</v>
      </c>
    </row>
    <row r="10" spans="1:25">
      <c r="B10" s="144" t="s">
        <v>387</v>
      </c>
      <c r="C10" s="152">
        <f>Income_Statement!F7*Assumptions!$C$36</f>
        <v>93153.162500000006</v>
      </c>
      <c r="D10" s="152">
        <f>Income_Statement!G7*Assumptions!$C$36</f>
        <v>147817.01637125001</v>
      </c>
      <c r="E10" s="152">
        <f>Income_Statement!H7*Assumptions!$C$36</f>
        <v>205044.05920826233</v>
      </c>
      <c r="F10" s="152">
        <f>Income_Statement!I7*Assumptions!$C$36</f>
        <v>257048.21403457818</v>
      </c>
      <c r="G10" s="152">
        <f>Income_Statement!J7*Assumptions!$C$36</f>
        <v>299610.5938676346</v>
      </c>
    </row>
    <row r="11" spans="1:25">
      <c r="B11" s="144" t="s">
        <v>388</v>
      </c>
      <c r="C11" s="152">
        <f>MAX(0,C7+C8-C9+Cash_Flow!F23+Cash_Flow!F24-C10)</f>
        <v>82246.624912910978</v>
      </c>
      <c r="D11" s="152">
        <f>MAX(0,D7+D8-D9+Cash_Flow!G23+Cash_Flow!G24-D10)</f>
        <v>143880.80494623943</v>
      </c>
      <c r="E11" s="152">
        <f>MAX(0,E7+E8-E9+Cash_Flow!H23+Cash_Flow!H24-E10)</f>
        <v>248735.193664889</v>
      </c>
      <c r="F11" s="152">
        <f>MAX(0,F7+F8-F9+Cash_Flow!I23+Cash_Flow!I24-F10)</f>
        <v>565481.80017221917</v>
      </c>
      <c r="G11" s="152">
        <f>MAX(0,G7+G8-G9+Cash_Flow!J23+Cash_Flow!J24-G10)</f>
        <v>989361.31020515203</v>
      </c>
    </row>
    <row r="12" spans="1:25">
      <c r="B12" s="144" t="s">
        <v>393</v>
      </c>
      <c r="C12" s="154">
        <f>Assumptions!C37</f>
        <v>235000</v>
      </c>
      <c r="D12" s="154">
        <f>C12-C13</f>
        <v>152753.37508708902</v>
      </c>
      <c r="E12" s="154">
        <v>50000</v>
      </c>
      <c r="F12" s="154">
        <v>50000</v>
      </c>
      <c r="G12" s="154">
        <v>50000</v>
      </c>
    </row>
    <row r="13" spans="1:25">
      <c r="B13" s="144" t="s">
        <v>389</v>
      </c>
      <c r="C13" s="154">
        <f>MIN(C11,C12)</f>
        <v>82246.624912910978</v>
      </c>
      <c r="D13" s="154">
        <f>MIN(D11,D12)</f>
        <v>143880.80494623943</v>
      </c>
      <c r="E13" s="154">
        <f t="shared" ref="E13:G13" si="0">MIN(E11,E12)</f>
        <v>50000</v>
      </c>
      <c r="F13" s="154">
        <f t="shared" si="0"/>
        <v>50000</v>
      </c>
      <c r="G13" s="154">
        <f t="shared" si="0"/>
        <v>50000</v>
      </c>
    </row>
    <row r="14" spans="1:25">
      <c r="B14" s="97"/>
      <c r="C14" s="152"/>
      <c r="D14" s="153"/>
      <c r="E14" s="153"/>
      <c r="F14" s="153"/>
      <c r="G14" s="153"/>
    </row>
    <row r="15" spans="1:25">
      <c r="B15" s="97" t="s">
        <v>390</v>
      </c>
      <c r="C15" s="155">
        <f>Cash_Flow!F26-C9</f>
        <v>54088.162500000006</v>
      </c>
      <c r="D15" s="155">
        <f>Cash_Flow!G26-D9</f>
        <v>87064.953871249978</v>
      </c>
      <c r="E15" s="155">
        <f>Cash_Flow!H26-E9</f>
        <v>307376.85089190141</v>
      </c>
      <c r="F15" s="155">
        <f>Cash_Flow!I26-F9</f>
        <v>440070.43410173716</v>
      </c>
      <c r="G15" s="155">
        <f>Cash_Flow!J26-G9</f>
        <v>555849.96431279904</v>
      </c>
    </row>
    <row r="16" spans="1:25">
      <c r="B16" s="97" t="s">
        <v>391</v>
      </c>
      <c r="C16" s="156">
        <f>Income_Statement!F7*Assumptions!$C$34</f>
        <v>32401.100000000002</v>
      </c>
      <c r="D16" s="156">
        <f>Income_Statement!G7*Assumptions!$C$34</f>
        <v>51414.614390000002</v>
      </c>
      <c r="E16" s="156">
        <f>Income_Statement!H7*Assumptions!$C$34</f>
        <v>71319.672768091245</v>
      </c>
      <c r="F16" s="156">
        <f>Income_Statement!I7*Assumptions!$C$34</f>
        <v>89408.074446809798</v>
      </c>
      <c r="G16" s="156">
        <f>Income_Statement!J7*Assumptions!$C$34</f>
        <v>104212.38047569898</v>
      </c>
    </row>
    <row r="17" spans="2:7">
      <c r="B17" s="122" t="s">
        <v>375</v>
      </c>
      <c r="C17" s="156">
        <f>IF(C15&gt;=C16,C16-C15,MIN(C16-C15,MAX(0,Balance_Sheet!E9-Assumptions!$C$29)))</f>
        <v>-21687.062500000004</v>
      </c>
      <c r="D17" s="156">
        <f>IF(D15&gt;=D16,D16-D15,MIN(D16-D15,MAX(0,Balance_Sheet!F9-Assumptions!$C$29)))</f>
        <v>-35650.339481249976</v>
      </c>
      <c r="E17" s="156">
        <f>IF(E15&gt;=E16,E16-E15,MIN(E16-E15,MAX(0,Balance_Sheet!G9-Assumptions!$C$29)))</f>
        <v>-236057.17812381015</v>
      </c>
      <c r="F17" s="156">
        <f>IF(F15&gt;=F16,F16-F15,MIN(F16-F15,MAX(0,Balance_Sheet!H9-Assumptions!$C$29)))</f>
        <v>-350662.35965492739</v>
      </c>
      <c r="G17" s="156">
        <f>IF(G15&gt;=G16,G16-G15,MIN(G16-G15,MAX(0,Balance_Sheet!I9-Assumptions!$C$29)))</f>
        <v>-451637.58383710007</v>
      </c>
    </row>
  </sheetData>
  <pageMargins left="0.70866141732283472" right="0.70866141732283472" top="0.74803149606299213" bottom="0.74803149606299213" header="0.31496062992125984" footer="0.31496062992125984"/>
  <pageSetup paperSize="9" orientation="landscape" horizontalDpi="360" verticalDpi="360" r:id="rId1"/>
  <headerFooter>
    <oddHeader>&amp;R&amp;"Arial,Bold"BASE CASE</oddHeader>
    <oddFooter>&amp;RResearch by T Ghiyas Kausara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rgb="FFA5A5A5"/>
  </sheetPr>
  <dimension ref="A1:AD49"/>
  <sheetViews>
    <sheetView showGridLines="0" view="pageBreakPreview" topLeftCell="A31" zoomScale="85" zoomScaleNormal="85" zoomScaleSheetLayoutView="85" workbookViewId="0">
      <selection activeCell="C45" sqref="C45:G49"/>
    </sheetView>
  </sheetViews>
  <sheetFormatPr defaultColWidth="8.58203125" defaultRowHeight="14"/>
  <cols>
    <col min="1" max="1" width="2.5" customWidth="1"/>
    <col min="2" max="2" width="35.9140625" customWidth="1"/>
    <col min="3" max="10" width="12.5" customWidth="1"/>
    <col min="17" max="17" width="8.9140625" bestFit="1" customWidth="1"/>
  </cols>
  <sheetData>
    <row r="1" spans="1:29" ht="14.5">
      <c r="A1" s="1"/>
      <c r="B1" s="1"/>
      <c r="C1" s="1"/>
      <c r="D1" s="1"/>
      <c r="E1" s="1"/>
      <c r="F1" s="1"/>
      <c r="G1" s="1"/>
      <c r="H1" s="1"/>
      <c r="I1" s="1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21.75" customHeight="1">
      <c r="A2" s="1"/>
      <c r="B2" s="3" t="s">
        <v>12</v>
      </c>
      <c r="C2" s="1"/>
      <c r="D2" s="1"/>
      <c r="E2" s="1"/>
      <c r="F2" s="1"/>
      <c r="G2" s="1"/>
      <c r="H2" s="1"/>
      <c r="I2" s="1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14.5">
      <c r="A3" s="1"/>
      <c r="B3" s="5" t="s">
        <v>258</v>
      </c>
      <c r="C3" s="1"/>
      <c r="D3" s="1"/>
      <c r="E3" s="1"/>
      <c r="F3" s="1"/>
      <c r="G3" s="1"/>
      <c r="H3" s="1"/>
      <c r="I3" s="1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14.5">
      <c r="A4" s="6"/>
      <c r="B4" s="6"/>
      <c r="C4" s="6"/>
      <c r="D4" s="6"/>
      <c r="E4" s="6"/>
      <c r="F4" s="6"/>
      <c r="G4" s="6"/>
      <c r="H4" s="6"/>
      <c r="I4" s="6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ht="14.5">
      <c r="A5" s="6"/>
      <c r="B5" s="38" t="s">
        <v>179</v>
      </c>
      <c r="C5" s="6"/>
      <c r="D5" s="30" t="s">
        <v>66</v>
      </c>
      <c r="E5" s="30" t="s">
        <v>67</v>
      </c>
      <c r="F5" s="30" t="s">
        <v>68</v>
      </c>
      <c r="G5" s="30" t="s">
        <v>69</v>
      </c>
      <c r="H5" s="104" t="s">
        <v>349</v>
      </c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ht="14.5">
      <c r="A6" s="6"/>
      <c r="B6" s="6"/>
      <c r="C6" s="6"/>
      <c r="D6" s="6"/>
      <c r="E6" s="6"/>
      <c r="F6" s="6"/>
      <c r="G6" s="6"/>
      <c r="H6" s="6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ht="14.5">
      <c r="A7" s="6"/>
      <c r="B7" s="40" t="s">
        <v>259</v>
      </c>
      <c r="C7" s="8"/>
      <c r="D7" s="8"/>
      <c r="E7" s="8"/>
      <c r="F7" s="8"/>
      <c r="G7" s="8"/>
      <c r="H7" s="8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ht="14.5">
      <c r="A8" s="6"/>
      <c r="B8" s="45" t="s">
        <v>260</v>
      </c>
      <c r="C8" s="6"/>
      <c r="D8" s="47">
        <f>Income_Statement!F14</f>
        <v>259208.80000000002</v>
      </c>
      <c r="E8" s="47">
        <f>Income_Statement!G14</f>
        <v>403283.38162156258</v>
      </c>
      <c r="F8" s="47">
        <f>Income_Statement!H14</f>
        <v>548269.98440470151</v>
      </c>
      <c r="G8" s="47">
        <f>Income_Statement!I14</f>
        <v>673354.56067753641</v>
      </c>
      <c r="H8" s="47">
        <f>Income_Statement!J14</f>
        <v>768566.30600828037</v>
      </c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ht="14.5">
      <c r="A9" s="6"/>
      <c r="B9" s="45" t="s">
        <v>327</v>
      </c>
      <c r="C9" s="6"/>
      <c r="D9" s="47">
        <f>D8*Tax_Rate</f>
        <v>42769.452000000005</v>
      </c>
      <c r="E9" s="47">
        <f>E8*Tax_Rate</f>
        <v>66541.757967557831</v>
      </c>
      <c r="F9" s="47">
        <f>F8*Tax_Rate</f>
        <v>90464.547426775753</v>
      </c>
      <c r="G9" s="47">
        <f>G8*Tax_Rate</f>
        <v>111103.50251179351</v>
      </c>
      <c r="H9" s="47">
        <f>H8*Tax_Rate</f>
        <v>126813.44049136627</v>
      </c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ht="14.5">
      <c r="A10" s="6"/>
      <c r="B10" s="41" t="s">
        <v>261</v>
      </c>
      <c r="C10" s="6"/>
      <c r="D10" s="49">
        <f>D8-D9</f>
        <v>216439.348</v>
      </c>
      <c r="E10" s="49">
        <f>E8-E9</f>
        <v>336741.62365400477</v>
      </c>
      <c r="F10" s="49">
        <f>F8-F9</f>
        <v>457805.43697792577</v>
      </c>
      <c r="G10" s="49">
        <f>G8-G9</f>
        <v>562251.0581657429</v>
      </c>
      <c r="H10" s="49">
        <f>H8-H9</f>
        <v>641752.86551691405</v>
      </c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ht="14.5">
      <c r="A11" s="6"/>
      <c r="B11" s="45" t="s">
        <v>247</v>
      </c>
      <c r="C11" s="6"/>
      <c r="D11" s="47">
        <f>Cash_Flow!F9</f>
        <v>5760.372187500001</v>
      </c>
      <c r="E11" s="47">
        <f>Cash_Flow!G9</f>
        <v>9244.6481787187513</v>
      </c>
      <c r="F11" s="47">
        <f>Cash_Flow!H9</f>
        <v>14063.458910916926</v>
      </c>
      <c r="G11" s="47">
        <f>Cash_Flow!I9</f>
        <v>19689.006703073883</v>
      </c>
      <c r="H11" s="47">
        <f>Cash_Flow!J9</f>
        <v>25504.196711287659</v>
      </c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ht="14.5">
      <c r="A12" s="6"/>
      <c r="B12" s="45" t="s">
        <v>157</v>
      </c>
      <c r="C12" s="6"/>
      <c r="D12" s="47">
        <f>Cash_Flow!F15</f>
        <v>-12150.4125</v>
      </c>
      <c r="E12" s="47">
        <f>Cash_Flow!G15</f>
        <v>-19280.480396250001</v>
      </c>
      <c r="F12" s="47">
        <f>Cash_Flow!H15</f>
        <v>-26744.877288034215</v>
      </c>
      <c r="G12" s="47">
        <f>Cash_Flow!I15</f>
        <v>-33528.027917553671</v>
      </c>
      <c r="H12" s="47">
        <f>Cash_Flow!J15</f>
        <v>-39079.642678387121</v>
      </c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ht="15" thickBot="1">
      <c r="A13" s="6"/>
      <c r="B13" s="45" t="s">
        <v>262</v>
      </c>
      <c r="C13" s="6"/>
      <c r="D13" s="47">
        <f>-[2]Working_Capital!F19</f>
        <v>-38713.136986301368</v>
      </c>
      <c r="E13" s="47">
        <f>-[2]Working_Capital!G19</f>
        <v>-53412.401095633541</v>
      </c>
      <c r="F13" s="47">
        <f>-[2]Working_Capital!H19</f>
        <v>-56877.507486538903</v>
      </c>
      <c r="G13" s="47">
        <f>-[2]Working_Capital!I19</f>
        <v>-52782.903857899684</v>
      </c>
      <c r="H13" s="47">
        <f>-[2]Working_Capital!J19</f>
        <v>-44377.173158661259</v>
      </c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ht="15" thickTop="1">
      <c r="A14" s="6"/>
      <c r="B14" s="41" t="s">
        <v>263</v>
      </c>
      <c r="C14" s="6"/>
      <c r="D14" s="50">
        <f>D10+D11+D12+D13</f>
        <v>171336.17070119863</v>
      </c>
      <c r="E14" s="50">
        <f>E10+E11+E12+E13</f>
        <v>273293.39034083998</v>
      </c>
      <c r="F14" s="50">
        <f>F10+F11+F12+F13</f>
        <v>388246.51111426955</v>
      </c>
      <c r="G14" s="50">
        <f>G10+G11+G12+G13</f>
        <v>495629.13309336337</v>
      </c>
      <c r="H14" s="50">
        <f>H10+H11+H12+H13</f>
        <v>583800.24639115331</v>
      </c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ht="14.5">
      <c r="A15" s="6"/>
      <c r="B15" s="45" t="s">
        <v>264</v>
      </c>
      <c r="C15" s="6"/>
      <c r="D15" s="65">
        <v>1</v>
      </c>
      <c r="E15" s="65">
        <v>2</v>
      </c>
      <c r="F15" s="65">
        <v>3</v>
      </c>
      <c r="G15" s="65">
        <v>4</v>
      </c>
      <c r="H15" s="65">
        <v>5</v>
      </c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ht="14.5">
      <c r="A16" s="6"/>
      <c r="B16" s="45" t="s">
        <v>265</v>
      </c>
      <c r="C16" s="6"/>
      <c r="D16" s="66">
        <f>1/(1+WACC)^D15</f>
        <v>0.89659607908387107</v>
      </c>
      <c r="E16" s="66">
        <f>1/(1+WACC)^E15</f>
        <v>0.8038845290285711</v>
      </c>
      <c r="F16" s="66">
        <f>1/(1+WACC)^F15</f>
        <v>0.72075971676320116</v>
      </c>
      <c r="G16" s="66">
        <f>1/(1+WACC)^G15</f>
        <v>0.6462303360114876</v>
      </c>
      <c r="H16" s="66">
        <f>1/(1+WACC)^H15</f>
        <v>0.57940758545295223</v>
      </c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30" ht="14.5">
      <c r="A17" s="6"/>
      <c r="B17" s="57" t="s">
        <v>266</v>
      </c>
      <c r="C17" s="6"/>
      <c r="D17" s="64">
        <f>D14*D16</f>
        <v>153619.33885593951</v>
      </c>
      <c r="E17" s="64">
        <f>E14*E16</f>
        <v>219696.32838076758</v>
      </c>
      <c r="F17" s="64">
        <f>F14*F16</f>
        <v>279832.44538502197</v>
      </c>
      <c r="G17" s="64">
        <f>G14*G16</f>
        <v>320290.58121600654</v>
      </c>
      <c r="H17" s="64">
        <f>H14*H16</f>
        <v>338258.29114833672</v>
      </c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30" ht="14.5">
      <c r="A18" s="6"/>
      <c r="B18" s="6"/>
      <c r="C18" s="6"/>
      <c r="D18" s="6"/>
      <c r="E18" s="6"/>
      <c r="F18" s="6"/>
      <c r="G18" s="6"/>
      <c r="H18" s="6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30" ht="14.5">
      <c r="A19" s="6"/>
      <c r="B19" s="40" t="s">
        <v>267</v>
      </c>
      <c r="C19" s="8"/>
      <c r="D19" s="8"/>
      <c r="E19" s="8"/>
      <c r="F19" s="8"/>
      <c r="G19" s="8"/>
      <c r="H19" s="8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30" ht="14.5">
      <c r="A20" s="6"/>
      <c r="B20" s="57" t="s">
        <v>268</v>
      </c>
      <c r="C20" s="64">
        <f>SUM(D17:H17)</f>
        <v>1311696.9849860724</v>
      </c>
      <c r="D20" s="6"/>
      <c r="E20" s="6"/>
      <c r="F20" s="6"/>
      <c r="G20" s="6"/>
      <c r="H20" s="6"/>
      <c r="I20" s="6"/>
      <c r="J20" s="6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</row>
    <row r="21" spans="1:30" ht="14.5">
      <c r="A21" s="6"/>
      <c r="B21" s="45" t="s">
        <v>328</v>
      </c>
      <c r="C21" s="47">
        <f>H14*(1+Terminal_Growth)</f>
        <v>601314.25378288794</v>
      </c>
      <c r="D21" s="6"/>
      <c r="E21" s="6"/>
      <c r="F21" s="6"/>
      <c r="G21" s="6"/>
      <c r="H21" s="6"/>
      <c r="I21" s="6"/>
      <c r="J21" s="6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ht="14.5">
      <c r="A22" s="6"/>
      <c r="B22" s="45" t="s">
        <v>329</v>
      </c>
      <c r="C22" s="47">
        <f>C21/(WACC-Terminal_Growth)</f>
        <v>7046973.1867196634</v>
      </c>
      <c r="D22" s="6"/>
      <c r="E22" s="6"/>
      <c r="F22" s="6"/>
      <c r="G22" s="6"/>
      <c r="H22" s="6"/>
      <c r="I22" s="6"/>
      <c r="J22" s="6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ht="14.5">
      <c r="A23" s="6"/>
      <c r="B23" s="45" t="s">
        <v>269</v>
      </c>
      <c r="C23" s="47">
        <f>C22*H16</f>
        <v>4083069.7188689364</v>
      </c>
      <c r="D23" s="6"/>
      <c r="E23" s="6"/>
      <c r="F23" s="6"/>
      <c r="G23" s="6"/>
      <c r="H23" s="6"/>
      <c r="I23" s="6"/>
      <c r="J23" s="6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</row>
    <row r="24" spans="1:30" ht="14.5">
      <c r="A24" s="6"/>
      <c r="B24" s="57" t="s">
        <v>270</v>
      </c>
      <c r="C24" s="49">
        <f>C20+C23</f>
        <v>5394766.7038550088</v>
      </c>
      <c r="D24" s="6"/>
      <c r="E24" s="6"/>
      <c r="F24" s="6"/>
      <c r="G24" s="6"/>
      <c r="H24" s="6"/>
      <c r="I24" s="6"/>
      <c r="J24" s="6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ht="14.5">
      <c r="A25" s="6"/>
      <c r="B25" s="45" t="s">
        <v>271</v>
      </c>
      <c r="C25" s="47">
        <f>Historical_Data!E39+Historical_Data!E40-Historical_Data!E49-Historical_Data!E50</f>
        <v>54088</v>
      </c>
      <c r="D25" s="6"/>
      <c r="E25" s="6"/>
      <c r="F25" s="6"/>
      <c r="G25" s="6"/>
      <c r="H25" s="6"/>
      <c r="I25" s="6"/>
      <c r="J25" s="6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ht="14.5">
      <c r="A26" s="6"/>
      <c r="B26" s="113" t="s">
        <v>407</v>
      </c>
      <c r="C26" s="49">
        <f>C24+C25</f>
        <v>5448854.7038550088</v>
      </c>
      <c r="D26" s="6"/>
      <c r="E26" s="6"/>
      <c r="F26" s="6"/>
      <c r="G26" s="6"/>
      <c r="H26" s="6"/>
      <c r="I26" s="6"/>
      <c r="J26" s="6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</row>
    <row r="27" spans="1:30" ht="14.5">
      <c r="A27" s="6"/>
      <c r="B27" s="45" t="s">
        <v>272</v>
      </c>
      <c r="C27" s="55">
        <f>Historical_Data!E54</f>
        <v>24514</v>
      </c>
      <c r="D27" s="6"/>
      <c r="E27" s="6"/>
      <c r="F27" s="6"/>
      <c r="G27" s="6"/>
      <c r="H27" s="6"/>
      <c r="I27" s="6"/>
      <c r="J27" s="6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  <row r="28" spans="1:30" ht="15" thickTop="1">
      <c r="A28" s="6"/>
      <c r="B28" s="57" t="s">
        <v>273</v>
      </c>
      <c r="C28" s="67">
        <f>C26/C27</f>
        <v>222.2752183998943</v>
      </c>
      <c r="D28" s="6"/>
      <c r="E28" s="6"/>
      <c r="F28" s="6"/>
      <c r="G28" s="6"/>
      <c r="H28" s="6"/>
      <c r="I28" s="6"/>
      <c r="J28" s="6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</row>
    <row r="29" spans="1:30" ht="14.5">
      <c r="A29" s="6"/>
      <c r="B29" s="57"/>
      <c r="C29" s="69"/>
      <c r="D29" s="6"/>
      <c r="E29" s="6"/>
      <c r="F29" s="6"/>
      <c r="G29" s="6"/>
      <c r="H29" s="6"/>
      <c r="I29" s="6"/>
      <c r="J29" s="6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</row>
    <row r="30" spans="1:30" ht="14.5">
      <c r="A30" s="6"/>
      <c r="B30" s="57"/>
      <c r="C30" s="69"/>
      <c r="D30" s="6"/>
      <c r="E30" s="6"/>
      <c r="F30" s="6"/>
      <c r="G30" s="6"/>
      <c r="H30" s="6"/>
      <c r="I30" s="6"/>
      <c r="J30" s="6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</row>
    <row r="31" spans="1:30" ht="14.5">
      <c r="A31" s="6"/>
      <c r="B31" s="40" t="s">
        <v>274</v>
      </c>
      <c r="C31" s="8"/>
      <c r="D31" s="8"/>
      <c r="E31" s="8"/>
      <c r="F31" s="8"/>
      <c r="G31" s="8"/>
      <c r="H31" s="8"/>
      <c r="I31" s="8"/>
      <c r="J31" s="8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</row>
    <row r="32" spans="1:30" ht="14.5">
      <c r="A32" s="6"/>
      <c r="B32" s="45" t="s">
        <v>275</v>
      </c>
      <c r="C32" s="47">
        <f>Income_Statement!F33</f>
        <v>264969.17218749999</v>
      </c>
      <c r="D32" s="6"/>
      <c r="E32" s="6"/>
      <c r="F32" s="6"/>
      <c r="G32" s="6"/>
      <c r="H32" s="6"/>
      <c r="I32" s="6"/>
      <c r="J32" s="6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</row>
    <row r="33" spans="1:30" ht="14.5">
      <c r="A33" s="6"/>
      <c r="B33" s="80" t="s">
        <v>406</v>
      </c>
      <c r="C33" s="47">
        <f>C32*Exit_EV_EBITDA</f>
        <v>5829321.788125</v>
      </c>
      <c r="D33" s="6"/>
      <c r="E33" s="6"/>
      <c r="F33" s="6"/>
      <c r="G33" s="6"/>
      <c r="H33" s="6"/>
      <c r="I33" s="6"/>
      <c r="J33" s="6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</row>
    <row r="34" spans="1:30" ht="14.5">
      <c r="A34" s="6"/>
      <c r="B34" s="45" t="s">
        <v>276</v>
      </c>
      <c r="C34" s="47">
        <f>C33+C25</f>
        <v>5883409.788125</v>
      </c>
      <c r="D34" s="6"/>
      <c r="E34" s="6"/>
      <c r="F34" s="6"/>
      <c r="G34" s="6"/>
      <c r="H34" s="6"/>
      <c r="I34" s="6"/>
      <c r="J34" s="6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</row>
    <row r="35" spans="1:30" ht="14.5">
      <c r="A35" s="6"/>
      <c r="B35" s="57" t="s">
        <v>277</v>
      </c>
      <c r="C35" s="68">
        <f>C34/C27</f>
        <v>240.00203100779146</v>
      </c>
      <c r="D35" s="6"/>
      <c r="E35" s="6"/>
      <c r="F35" s="6"/>
      <c r="G35" s="6"/>
      <c r="H35" s="6"/>
      <c r="I35" s="6"/>
      <c r="J35" s="6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</row>
    <row r="36" spans="1:30" ht="14.5">
      <c r="A36" s="6"/>
      <c r="B36" s="45" t="s">
        <v>278</v>
      </c>
      <c r="C36" s="56">
        <f>Income_Statement!F25</f>
        <v>8.980856385190819</v>
      </c>
      <c r="D36" s="6"/>
      <c r="E36" s="6"/>
      <c r="F36" s="6"/>
      <c r="G36" s="6"/>
      <c r="H36" s="6"/>
      <c r="I36" s="6"/>
      <c r="J36" s="6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</row>
    <row r="37" spans="1:30" ht="14.5">
      <c r="A37" s="6"/>
      <c r="B37" s="113" t="s">
        <v>409</v>
      </c>
      <c r="C37" s="69">
        <f>C36*Target_PE</f>
        <v>224.52140962977046</v>
      </c>
      <c r="D37" s="6"/>
      <c r="E37" s="6"/>
      <c r="F37" s="6"/>
      <c r="G37" s="6"/>
      <c r="H37" s="6"/>
      <c r="I37" s="6"/>
      <c r="J37" s="6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</row>
    <row r="38" spans="1:30" ht="14.5">
      <c r="A38" s="6"/>
      <c r="B38" s="6"/>
      <c r="C38" s="6"/>
      <c r="D38" s="6"/>
      <c r="E38" s="6"/>
      <c r="F38" s="6"/>
      <c r="G38" s="6"/>
      <c r="H38" s="6"/>
      <c r="I38" s="6"/>
      <c r="J38" s="6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</row>
    <row r="39" spans="1:30" ht="14.5">
      <c r="A39" s="6"/>
      <c r="B39" s="80" t="s">
        <v>408</v>
      </c>
      <c r="C39" s="70">
        <f>C24/C32</f>
        <v>20.359978707400394</v>
      </c>
      <c r="D39" s="6"/>
      <c r="E39" s="6"/>
      <c r="F39" s="6"/>
      <c r="G39" s="6"/>
      <c r="H39" s="6"/>
      <c r="I39" s="6"/>
      <c r="J39" s="6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</row>
    <row r="42" spans="1:30">
      <c r="B42" s="87" t="s">
        <v>330</v>
      </c>
      <c r="C42" s="82"/>
      <c r="D42" s="82"/>
      <c r="E42" s="82"/>
      <c r="F42" s="82"/>
      <c r="G42" s="82"/>
    </row>
    <row r="43" spans="1:30" ht="14.5">
      <c r="B43" s="93"/>
      <c r="C43" s="13"/>
      <c r="D43" s="13"/>
      <c r="E43" s="13"/>
      <c r="F43" s="13"/>
      <c r="G43" s="13"/>
    </row>
    <row r="44" spans="1:30">
      <c r="B44" s="157" t="s">
        <v>429</v>
      </c>
      <c r="C44" s="158">
        <v>0.09</v>
      </c>
      <c r="D44" s="158">
        <v>0.1</v>
      </c>
      <c r="E44" s="158">
        <v>0.11</v>
      </c>
      <c r="F44" s="158">
        <v>0.12</v>
      </c>
      <c r="G44" s="158">
        <v>0.13</v>
      </c>
      <c r="L44" s="91"/>
    </row>
    <row r="45" spans="1:30">
      <c r="B45" s="158">
        <v>0.02</v>
      </c>
      <c r="C45" s="96">
        <v>285.57090623809353</v>
      </c>
      <c r="D45" s="96">
        <v>246.80672156133122</v>
      </c>
      <c r="E45" s="96">
        <v>216.7575580111457</v>
      </c>
      <c r="F45" s="96">
        <v>192.80485115205661</v>
      </c>
      <c r="G45" s="96">
        <v>173.28244306198977</v>
      </c>
    </row>
    <row r="46" spans="1:30">
      <c r="B46" s="158">
        <v>2.5000000000000001E-2</v>
      </c>
      <c r="C46" s="96">
        <v>304.11060648426661</v>
      </c>
      <c r="D46" s="96">
        <v>260.36167735294015</v>
      </c>
      <c r="E46" s="96">
        <v>227.01093076736547</v>
      </c>
      <c r="F46" s="96">
        <v>200.77055948539933</v>
      </c>
      <c r="G46" s="96">
        <v>179.60545990042021</v>
      </c>
    </row>
    <row r="47" spans="1:30">
      <c r="B47" s="158">
        <v>3.0000000000000002E-2</v>
      </c>
      <c r="C47" s="96">
        <v>325.74025677146869</v>
      </c>
      <c r="D47" s="96">
        <v>275.85305540049319</v>
      </c>
      <c r="E47" s="96">
        <v>238.54597511811272</v>
      </c>
      <c r="F47" s="96">
        <v>209.62134652244688</v>
      </c>
      <c r="G47" s="96">
        <v>186.5607784226938</v>
      </c>
    </row>
    <row r="48" spans="1:30">
      <c r="B48" s="158">
        <v>3.5000000000000003E-2</v>
      </c>
      <c r="C48" s="96">
        <v>351.30257074725284</v>
      </c>
      <c r="D48" s="96">
        <v>293.72772237843901</v>
      </c>
      <c r="E48" s="96">
        <v>251.61902538229285</v>
      </c>
      <c r="F48" s="96">
        <v>219.51340262267644</v>
      </c>
      <c r="G48" s="96">
        <v>194.2482357367856</v>
      </c>
    </row>
    <row r="49" spans="2:7">
      <c r="B49" s="158">
        <v>0.04</v>
      </c>
      <c r="C49" s="96">
        <v>381.97734751819388</v>
      </c>
      <c r="D49" s="96">
        <v>314.58150051937582</v>
      </c>
      <c r="E49" s="96">
        <v>266.55965425564159</v>
      </c>
      <c r="F49" s="96">
        <v>230.64196573543475</v>
      </c>
      <c r="G49" s="96">
        <v>202.78985497466542</v>
      </c>
    </row>
  </sheetData>
  <pageMargins left="0.74803149606299213" right="0.74803149606299213" top="0.98425196850393704" bottom="0.98425196850393704" header="0.51181102362204722" footer="0.51181102362204722"/>
  <pageSetup paperSize="9" orientation="landscape" horizontalDpi="300" verticalDpi="300" r:id="rId1"/>
  <headerFooter>
    <oddHeader>&amp;R&amp;"Arial,Bold"BASE CASE</oddHead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70AD47"/>
  </sheetPr>
  <dimension ref="A1:AD27"/>
  <sheetViews>
    <sheetView showGridLines="0" view="pageBreakPreview" zoomScale="70" zoomScaleNormal="70" zoomScaleSheetLayoutView="70" workbookViewId="0">
      <selection activeCell="H13" sqref="H13"/>
    </sheetView>
  </sheetViews>
  <sheetFormatPr defaultColWidth="8.58203125" defaultRowHeight="14"/>
  <cols>
    <col min="1" max="1" width="2.5" customWidth="1"/>
    <col min="2" max="2" width="33.5" customWidth="1"/>
    <col min="3" max="10" width="9.4140625" customWidth="1"/>
  </cols>
  <sheetData>
    <row r="1" spans="1:30" ht="14.5">
      <c r="A1" s="1"/>
      <c r="B1" s="1"/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21.75" customHeight="1">
      <c r="A2" s="1"/>
      <c r="B2" s="3" t="s">
        <v>279</v>
      </c>
      <c r="C2" s="1"/>
      <c r="D2" s="1"/>
      <c r="E2" s="1"/>
      <c r="F2" s="1"/>
      <c r="G2" s="1"/>
      <c r="H2" s="1"/>
      <c r="I2" s="1"/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5">
      <c r="A3" s="1"/>
      <c r="B3" s="5" t="s">
        <v>280</v>
      </c>
      <c r="C3" s="1"/>
      <c r="D3" s="1"/>
      <c r="E3" s="1"/>
      <c r="F3" s="1"/>
      <c r="G3" s="1"/>
      <c r="H3" s="1"/>
      <c r="I3" s="1"/>
      <c r="J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5">
      <c r="A4" s="6"/>
      <c r="B4" s="6"/>
      <c r="C4" s="6"/>
      <c r="D4" s="6"/>
      <c r="E4" s="6"/>
      <c r="F4" s="6"/>
      <c r="G4" s="6"/>
      <c r="H4" s="6"/>
      <c r="I4" s="6"/>
      <c r="J4" s="6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ht="14.5">
      <c r="A5" s="6"/>
      <c r="B5" s="38" t="s">
        <v>179</v>
      </c>
      <c r="C5" s="104" t="s">
        <v>64</v>
      </c>
      <c r="D5" s="104" t="s">
        <v>65</v>
      </c>
      <c r="E5" s="104" t="s">
        <v>347</v>
      </c>
      <c r="F5" s="30" t="s">
        <v>66</v>
      </c>
      <c r="G5" s="30" t="s">
        <v>67</v>
      </c>
      <c r="H5" s="30" t="s">
        <v>68</v>
      </c>
      <c r="I5" s="30" t="s">
        <v>69</v>
      </c>
      <c r="J5" s="104" t="s">
        <v>349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1:30" ht="14.5">
      <c r="A6" s="6"/>
      <c r="B6" s="6"/>
      <c r="C6" s="6"/>
      <c r="D6" s="6"/>
      <c r="E6" s="6"/>
      <c r="F6" s="6"/>
      <c r="G6" s="6"/>
      <c r="H6" s="6"/>
      <c r="I6" s="6"/>
      <c r="J6" s="6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ht="14.5">
      <c r="A7" s="6"/>
      <c r="B7" s="40" t="s">
        <v>281</v>
      </c>
      <c r="C7" s="8"/>
      <c r="D7" s="8"/>
      <c r="E7" s="8"/>
      <c r="F7" s="8"/>
      <c r="G7" s="8"/>
      <c r="H7" s="8"/>
      <c r="I7" s="8"/>
      <c r="J7" s="8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ht="14.5">
      <c r="A8" s="6"/>
      <c r="B8" s="45" t="s">
        <v>282</v>
      </c>
      <c r="C8" s="51">
        <f>Income_Statement!C10/Income_Statement!C7</f>
        <v>0.72717573290436954</v>
      </c>
      <c r="D8" s="51">
        <f>Income_Statement!D10/Income_Statement!D7</f>
        <v>0.74988697058169917</v>
      </c>
      <c r="E8" s="51">
        <f>Income_Statement!E10/Income_Statement!E7</f>
        <v>0.71068084357547079</v>
      </c>
      <c r="F8" s="46">
        <f>Income_Statement!F10/Income_Statement!F7</f>
        <v>0.75</v>
      </c>
      <c r="G8" s="46">
        <f>Income_Statement!G10/Income_Statement!G7</f>
        <v>0.73750000000000004</v>
      </c>
      <c r="H8" s="46">
        <f>Income_Statement!H10/Income_Statement!H7</f>
        <v>0.72500000000000009</v>
      </c>
      <c r="I8" s="46">
        <f>Income_Statement!I10/Income_Statement!I7</f>
        <v>0.71250000000000013</v>
      </c>
      <c r="J8" s="46">
        <f>Income_Statement!J10/Income_Statement!J7</f>
        <v>0.70000000000000018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</row>
    <row r="9" spans="1:30" ht="14.5">
      <c r="A9" s="6"/>
      <c r="B9" s="45" t="s">
        <v>204</v>
      </c>
      <c r="C9" s="51">
        <f>Income_Statement!C14/Income_Statement!C7</f>
        <v>0.54121663766783756</v>
      </c>
      <c r="D9" s="51">
        <f>Income_Statement!D14/Income_Statement!D7</f>
        <v>0.62417526839697468</v>
      </c>
      <c r="E9" s="51">
        <f>Income_Statement!E14/Income_Statement!E7</f>
        <v>0.60381683631412719</v>
      </c>
      <c r="F9" s="46">
        <f>Income_Statement!F14/Income_Statement!F7</f>
        <v>0.64</v>
      </c>
      <c r="G9" s="46">
        <f>Income_Statement!G14/Income_Statement!G7</f>
        <v>0.62750000000000006</v>
      </c>
      <c r="H9" s="46">
        <f>Income_Statement!H14/Income_Statement!H7</f>
        <v>0.6150000000000001</v>
      </c>
      <c r="I9" s="46">
        <f>Income_Statement!I14/Income_Statement!I7</f>
        <v>0.60250000000000015</v>
      </c>
      <c r="J9" s="46">
        <f>Income_Statement!J14/Income_Statement!J7</f>
        <v>0.5900000000000003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ht="14.5">
      <c r="A10" s="6"/>
      <c r="B10" s="45" t="s">
        <v>207</v>
      </c>
      <c r="C10" s="51">
        <f>Income_Statement!C31/Income_Statement!C7</f>
        <v>0.59947145530350288</v>
      </c>
      <c r="D10" s="51">
        <f>Income_Statement!D31/Income_Statement!D7</f>
        <v>0.66047495344720564</v>
      </c>
      <c r="E10" s="51">
        <f>Income_Statement!E31/Income_Statement!E7</f>
        <v>0.63339013976233915</v>
      </c>
      <c r="F10" s="46">
        <f>Income_Statement!F31/Income_Statement!F7</f>
        <v>0.66249999999999998</v>
      </c>
      <c r="G10" s="46">
        <f>Income_Statement!G31/Income_Statement!G7</f>
        <v>0.65000000000000013</v>
      </c>
      <c r="H10" s="46">
        <f>Income_Statement!H31/Income_Statement!H7</f>
        <v>0.63750000000000007</v>
      </c>
      <c r="I10" s="46">
        <f>Income_Statement!I31/Income_Statement!I7</f>
        <v>0.62500000000000011</v>
      </c>
      <c r="J10" s="46">
        <f>Income_Statement!J31/Income_Statement!J7</f>
        <v>0.61250000000000027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ht="14.5">
      <c r="A11" s="6"/>
      <c r="B11" s="45" t="s">
        <v>205</v>
      </c>
      <c r="C11" s="51">
        <f>Income_Statement!C21/Income_Statement!C7</f>
        <v>0.4884934834706674</v>
      </c>
      <c r="D11" s="51">
        <f>Income_Statement!D21/Income_Statement!D7</f>
        <v>0.55848027157712443</v>
      </c>
      <c r="E11" s="51">
        <f>Income_Statement!E21/Income_Statement!E7</f>
        <v>0.55602534060702613</v>
      </c>
      <c r="F11" s="46">
        <f>Income_Statement!F21/Income_Statement!F7</f>
        <v>0.53668158787201681</v>
      </c>
      <c r="G11" s="46">
        <f>Income_Statement!G21/Income_Statement!G7</f>
        <v>0.526989735910385</v>
      </c>
      <c r="H11" s="46">
        <f>Income_Statement!H21/Income_Statement!H7</f>
        <v>0.51785098640135685</v>
      </c>
      <c r="I11" s="46">
        <f>Income_Statement!I21/Income_Statement!I7</f>
        <v>0.51432035214105076</v>
      </c>
      <c r="J11" s="46">
        <f>Income_Statement!J21/Income_Statement!J7</f>
        <v>0.51181078210329534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</row>
    <row r="12" spans="1:30" ht="14.5">
      <c r="A12" s="6"/>
      <c r="B12" s="45" t="s">
        <v>283</v>
      </c>
      <c r="C12" s="51">
        <f>Income_Statement!C33/Income_Statement!C7</f>
        <v>0.56596960047273559</v>
      </c>
      <c r="D12" s="51">
        <f>Income_Statement!D33/Income_Statement!D7</f>
        <v>0.63845912166563212</v>
      </c>
      <c r="E12" s="51">
        <f>Income_Statement!E33/Income_Statement!E7</f>
        <v>0.61698265242801176</v>
      </c>
      <c r="F12" s="46">
        <f>Income_Statement!F33/Income_Statement!F7</f>
        <v>0.65422265833567372</v>
      </c>
      <c r="G12" s="46">
        <f>Income_Statement!G33/Income_Statement!G7</f>
        <v>0.64188446758907036</v>
      </c>
      <c r="H12" s="46">
        <f>Income_Statement!H33/Income_Statement!H7</f>
        <v>0.63077512443911166</v>
      </c>
      <c r="I12" s="46">
        <f>Income_Statement!I33/Income_Statement!I7</f>
        <v>0.62011720679023219</v>
      </c>
      <c r="J12" s="46">
        <f>Income_Statement!J33/Income_Statement!J7</f>
        <v>0.60957863094182774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ht="14.5">
      <c r="A13" s="6"/>
      <c r="B13" s="6"/>
      <c r="C13" s="6"/>
      <c r="D13" s="6"/>
      <c r="E13" s="6"/>
      <c r="F13" s="6"/>
      <c r="G13" s="6"/>
      <c r="H13" s="6"/>
      <c r="I13" s="6"/>
      <c r="J13" s="6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ht="14.5">
      <c r="A14" s="6"/>
      <c r="B14" s="40" t="s">
        <v>284</v>
      </c>
      <c r="C14" s="8"/>
      <c r="D14" s="8"/>
      <c r="E14" s="8"/>
      <c r="F14" s="8"/>
      <c r="G14" s="8"/>
      <c r="H14" s="8"/>
      <c r="I14" s="8"/>
      <c r="J14" s="8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</row>
    <row r="15" spans="1:30" ht="14.5">
      <c r="A15" s="6"/>
      <c r="B15" s="45" t="s">
        <v>285</v>
      </c>
      <c r="C15" s="51">
        <f>Income_Statement!C21/Balance_Sheet!C37</f>
        <v>0.69244729861789756</v>
      </c>
      <c r="D15" s="51">
        <f>Income_Statement!D21/Balance_Sheet!D37</f>
        <v>0.9187288060811577</v>
      </c>
      <c r="E15" s="51">
        <f>Income_Statement!E21/Balance_Sheet!E37</f>
        <v>0.76333339690895341</v>
      </c>
      <c r="F15" s="46">
        <f>Income_Statement!F21/Balance_Sheet!F37</f>
        <v>0.76813483969254681</v>
      </c>
      <c r="G15" s="46">
        <f>Income_Statement!G21/Balance_Sheet!G37</f>
        <v>0.72362967922139543</v>
      </c>
      <c r="H15" s="46">
        <f>Income_Statement!H21/Balance_Sheet!H37</f>
        <v>0.52706659296844094</v>
      </c>
      <c r="I15" s="46">
        <f>Income_Statement!I21/Balance_Sheet!I37</f>
        <v>0.40997434268319466</v>
      </c>
      <c r="J15" s="46">
        <f>Income_Statement!J21/Balance_Sheet!J37</f>
        <v>0.3293566879746706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 ht="14.5">
      <c r="A16" s="6"/>
      <c r="B16" s="45" t="s">
        <v>286</v>
      </c>
      <c r="C16" s="51">
        <f>Income_Statement!C21/Balance_Sheet!C17</f>
        <v>0.45277507302823761</v>
      </c>
      <c r="D16" s="51">
        <f>Income_Statement!D21/Balance_Sheet!D17</f>
        <v>0.65304074336251472</v>
      </c>
      <c r="E16" s="51">
        <f>Income_Statement!E21/Balance_Sheet!E17</f>
        <v>0.5805863551302447</v>
      </c>
      <c r="F16" s="46">
        <f>Income_Statement!F21/Balance_Sheet!F17</f>
        <v>0.59827318742513058</v>
      </c>
      <c r="G16" s="46">
        <f>Income_Statement!G21/Balance_Sheet!G17</f>
        <v>0.60537194172744191</v>
      </c>
      <c r="H16" s="46">
        <f>Income_Statement!H21/Balance_Sheet!H17</f>
        <v>0.47342335791906154</v>
      </c>
      <c r="I16" s="46">
        <f>Income_Statement!I21/Balance_Sheet!I17</f>
        <v>0.38058559014526955</v>
      </c>
      <c r="J16" s="46">
        <f>Income_Statement!J21/Balance_Sheet!J17</f>
        <v>0.31118791092252157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</row>
    <row r="17" spans="1:30" ht="14.5">
      <c r="A17" s="6"/>
      <c r="B17" s="45" t="s">
        <v>287</v>
      </c>
      <c r="C17" s="51">
        <f>Income_Statement!C20/Income_Statement!C19</f>
        <v>0.1199952687917677</v>
      </c>
      <c r="D17" s="51">
        <f>Income_Statement!D20/Income_Statement!D19</f>
        <v>0.13264941803727417</v>
      </c>
      <c r="E17" s="51">
        <f>Income_Statement!E20/Income_Statement!E19</f>
        <v>0.15117002474372571</v>
      </c>
      <c r="F17" s="46">
        <f>Income_Statement!F20/Income_Statement!F19</f>
        <v>0.16500000000000001</v>
      </c>
      <c r="G17" s="46">
        <f>Income_Statement!G20/Income_Statement!G19</f>
        <v>0.16500000000000001</v>
      </c>
      <c r="H17" s="46">
        <f>Income_Statement!H20/Income_Statement!H19</f>
        <v>0.16500000000000001</v>
      </c>
      <c r="I17" s="46">
        <f>Income_Statement!I20/Income_Statement!I19</f>
        <v>0.16500000000000001</v>
      </c>
      <c r="J17" s="46">
        <f>Income_Statement!J20/Income_Statement!J19</f>
        <v>0.16500000000000004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</row>
    <row r="18" spans="1:30" ht="14.5">
      <c r="A18" s="6"/>
      <c r="B18" s="6"/>
      <c r="C18" s="6"/>
      <c r="D18" s="6"/>
      <c r="E18" s="6"/>
      <c r="F18" s="6"/>
      <c r="G18" s="6"/>
      <c r="H18" s="6"/>
      <c r="I18" s="6"/>
      <c r="J18" s="6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</row>
    <row r="19" spans="1:30" ht="14.5">
      <c r="A19" s="6"/>
      <c r="B19" s="40" t="s">
        <v>288</v>
      </c>
      <c r="C19" s="8"/>
      <c r="D19" s="8"/>
      <c r="E19" s="8"/>
      <c r="F19" s="8"/>
      <c r="G19" s="8"/>
      <c r="H19" s="8"/>
      <c r="I19" s="8"/>
      <c r="J19" s="8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</row>
    <row r="20" spans="1:30" ht="14.5">
      <c r="A20" s="6"/>
      <c r="B20" s="45" t="s">
        <v>430</v>
      </c>
      <c r="C20" s="51">
        <f>Cash_Flow!C33/Cash_Flow!C8</f>
        <v>0.90796370967741935</v>
      </c>
      <c r="D20" s="51">
        <f>Cash_Flow!D33/Cash_Flow!D8</f>
        <v>0.83497530186608127</v>
      </c>
      <c r="E20" s="51">
        <f>Cash_Flow!E33/Cash_Flow!E8</f>
        <v>0.80518377239374683</v>
      </c>
      <c r="F20" s="46">
        <f>Cash_Flow!F33/Cash_Flow!F8</f>
        <v>0.78337369501184551</v>
      </c>
      <c r="G20" s="46">
        <f>Cash_Flow!G33/Cash_Flow!G8</f>
        <v>0.83483418278037647</v>
      </c>
      <c r="H20" s="46">
        <f>Cash_Flow!H33/Cash_Flow!H8</f>
        <v>0.87632055942030274</v>
      </c>
      <c r="I20" s="46">
        <f>Cash_Flow!I33/Cash_Flow!I8</f>
        <v>0.91519596495352384</v>
      </c>
      <c r="J20" s="46">
        <f>Cash_Flow!J33/Cash_Flow!J8</f>
        <v>0.94752562953817443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</row>
    <row r="21" spans="1:30" ht="14.5">
      <c r="A21" s="6"/>
      <c r="B21" s="45" t="s">
        <v>289</v>
      </c>
      <c r="C21" s="51">
        <f>Cash_Flow!C33/Income_Statement!C7</f>
        <v>0.44353435540527231</v>
      </c>
      <c r="D21" s="51">
        <f>Cash_Flow!D33/Income_Statement!D7</f>
        <v>0.46631723334636044</v>
      </c>
      <c r="E21" s="51">
        <f>Cash_Flow!E33/Income_Statement!E7</f>
        <v>0.44770258129648327</v>
      </c>
      <c r="F21" s="46">
        <f>Cash_Flow!F33/Income_Statement!F7</f>
        <v>0.4204222385361262</v>
      </c>
      <c r="G21" s="46">
        <f>Cash_Flow!G33/Income_Statement!G7</f>
        <v>0.43994904551239267</v>
      </c>
      <c r="H21" s="46">
        <f>Cash_Flow!H33/Income_Statement!H7</f>
        <v>0.45380346609959266</v>
      </c>
      <c r="I21" s="46">
        <f>Cash_Flow!I33/Income_Statement!I7</f>
        <v>0.4707039109729651</v>
      </c>
      <c r="J21" s="46">
        <f>Cash_Flow!J33/Income_Statement!J7</f>
        <v>0.48495383351685034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</row>
    <row r="22" spans="1:30" ht="14.5">
      <c r="A22" s="6"/>
      <c r="B22" s="45" t="s">
        <v>290</v>
      </c>
      <c r="C22" s="43">
        <f>Balance_Sheet!C24+Balance_Sheet!C22-Balance_Sheet!C8-Balance_Sheet!C9</f>
        <v>-16275</v>
      </c>
      <c r="D22" s="43">
        <f>Balance_Sheet!D24+Balance_Sheet!D22-Balance_Sheet!D8-Balance_Sheet!D9</f>
        <v>-34747</v>
      </c>
      <c r="E22" s="43">
        <f>Balance_Sheet!E24+Balance_Sheet!E22-Balance_Sheet!E8-Balance_Sheet!E9</f>
        <v>-54088</v>
      </c>
      <c r="F22" s="47">
        <f>Balance_Sheet!F24+Balance_Sheet!F22-Balance_Sheet!F8-Balance_Sheet!F9</f>
        <v>-73571.162500000006</v>
      </c>
      <c r="G22" s="47">
        <f>Balance_Sheet!G24+Balance_Sheet!G22-Balance_Sheet!G8-Balance_Sheet!G9</f>
        <v>-128235.01637124998</v>
      </c>
      <c r="H22" s="47">
        <f>Balance_Sheet!H24+Balance_Sheet!H22-Balance_Sheet!H8-Balance_Sheet!H9</f>
        <v>-388947.25287315133</v>
      </c>
      <c r="I22" s="47">
        <f>Balance_Sheet!I24+Balance_Sheet!I22-Balance_Sheet!I8-Balance_Sheet!I9</f>
        <v>-761198.01420679723</v>
      </c>
      <c r="J22" s="47">
        <f>Balance_Sheet!J24+Balance_Sheet!J22-Balance_Sheet!J8-Balance_Sheet!J9</f>
        <v>-1229139.9040727867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</row>
    <row r="23" spans="1:30" ht="14.5">
      <c r="A23" s="6"/>
      <c r="B23" s="45" t="s">
        <v>291</v>
      </c>
      <c r="C23" s="51">
        <f>-Cash_Flow!C15/Income_Statement!C7</f>
        <v>1.7547027346442992E-2</v>
      </c>
      <c r="D23" s="51">
        <f>-Cash_Flow!D15/Income_Statement!D7</f>
        <v>2.4797504923484832E-2</v>
      </c>
      <c r="E23" s="51">
        <f>-Cash_Flow!E15/Income_Statement!E7</f>
        <v>2.7980253591308617E-2</v>
      </c>
      <c r="F23" s="46">
        <f>-Cash_Flow!F15/Income_Statement!F7</f>
        <v>3.0000000000000002E-2</v>
      </c>
      <c r="G23" s="46">
        <f>-Cash_Flow!G15/Income_Statement!G7</f>
        <v>0.03</v>
      </c>
      <c r="H23" s="46">
        <f>-Cash_Flow!H15/Income_Statement!H7</f>
        <v>0.03</v>
      </c>
      <c r="I23" s="46">
        <f>-Cash_Flow!I15/Income_Statement!I7</f>
        <v>0.03</v>
      </c>
      <c r="J23" s="46">
        <f>-Cash_Flow!J15/Income_Statement!J7</f>
        <v>0.03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</row>
    <row r="24" spans="1:30" ht="14.5">
      <c r="A24" s="6"/>
      <c r="B24" s="6"/>
      <c r="C24" s="6"/>
      <c r="D24" s="6"/>
      <c r="E24" s="6"/>
      <c r="F24" s="6"/>
      <c r="G24" s="6"/>
      <c r="H24" s="6"/>
      <c r="I24" s="6"/>
      <c r="J24" s="6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</row>
    <row r="25" spans="1:30" ht="14.5">
      <c r="A25" s="6"/>
      <c r="B25" s="40" t="s">
        <v>292</v>
      </c>
      <c r="C25" s="8"/>
      <c r="D25" s="8"/>
      <c r="E25" s="8"/>
      <c r="F25" s="8"/>
      <c r="G25" s="8"/>
      <c r="H25" s="8"/>
      <c r="I25" s="8"/>
      <c r="J25" s="8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</row>
    <row r="26" spans="1:30" ht="14.5">
      <c r="A26" s="6"/>
      <c r="B26" s="45" t="s">
        <v>192</v>
      </c>
      <c r="C26" s="51">
        <f>Revenue_Build!C18/Revenue_Build!C23</f>
        <v>0.78009586028035849</v>
      </c>
      <c r="D26" s="51">
        <f>Revenue_Build!D18/Revenue_Build!D23</f>
        <v>0.88267163229806045</v>
      </c>
      <c r="E26" s="51">
        <f>Revenue_Build!E18/Revenue_Build!E23</f>
        <v>0.89718808176421005</v>
      </c>
      <c r="F26" s="46">
        <f>Revenue_Build!F18/Revenue_Build!F23</f>
        <v>0.93277610945307421</v>
      </c>
      <c r="G26" s="46">
        <f>Revenue_Build!G18/Revenue_Build!G23</f>
        <v>0.95081248376547434</v>
      </c>
      <c r="H26" s="46">
        <f>Revenue_Build!H18/Revenue_Build!H23</f>
        <v>0.96056438867052907</v>
      </c>
      <c r="I26" s="46">
        <f>Revenue_Build!I18/Revenue_Build!I23</f>
        <v>0.96613446278186987</v>
      </c>
      <c r="J26" s="46">
        <f>Revenue_Build!J18/Revenue_Build!J23</f>
        <v>0.96944970009012243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</row>
    <row r="27" spans="1:30" ht="14.5">
      <c r="A27" s="6"/>
      <c r="B27" s="45" t="s">
        <v>293</v>
      </c>
      <c r="C27" s="51">
        <f>Revenue_Build!C19/Revenue_Build!C23</f>
        <v>0.17148156659334887</v>
      </c>
      <c r="D27" s="51">
        <f>Revenue_Build!D19/Revenue_Build!D23</f>
        <v>8.6975179506042291E-2</v>
      </c>
      <c r="E27" s="51">
        <f>Revenue_Build!E19/Revenue_Build!E23</f>
        <v>7.4289842454778682E-2</v>
      </c>
      <c r="F27" s="46">
        <f>Revenue_Build!F19/Revenue_Build!F23</f>
        <v>4.5549811580471035E-2</v>
      </c>
      <c r="G27" s="46">
        <f>Revenue_Build!G19/Revenue_Build!G23</f>
        <v>3.1503897466068305E-2</v>
      </c>
      <c r="H27" s="46">
        <f>Revenue_Build!H19/Revenue_Build!H23</f>
        <v>2.4150602632435458E-2</v>
      </c>
      <c r="I27" s="46">
        <f>Revenue_Build!I19/Revenue_Build!I23</f>
        <v>2.0058207736604886E-2</v>
      </c>
      <c r="J27" s="46">
        <f>Revenue_Build!J19/Revenue_Build!J23</f>
        <v>1.7669539558498919E-2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</row>
  </sheetData>
  <pageMargins left="0.74803149606299213" right="0.74803149606299213" top="0.98425196850393704" bottom="0.98425196850393704" header="0.51181102362204722" footer="0.51181102362204722"/>
  <pageSetup paperSize="9" orientation="landscape" horizontalDpi="300" verticalDpi="300" r:id="rId1"/>
  <headerFooter>
    <oddHeader>&amp;R&amp;"Arial,Bold"BASE CASE</oddHeader>
    <oddFooter>&amp;R&amp;"Times New Roman,Regular"&amp;10Research by T Ghiyas Kausara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FF0000"/>
  </sheetPr>
  <dimension ref="A1:AD19"/>
  <sheetViews>
    <sheetView showGridLines="0" view="pageBreakPreview" zoomScale="85" zoomScaleNormal="100" zoomScaleSheetLayoutView="85" workbookViewId="0">
      <selection activeCell="E12" sqref="E12"/>
    </sheetView>
  </sheetViews>
  <sheetFormatPr defaultColWidth="8.58203125" defaultRowHeight="14"/>
  <cols>
    <col min="1" max="1" width="2.5" customWidth="1"/>
    <col min="2" max="2" width="37" customWidth="1"/>
    <col min="3" max="3" width="12.6640625" customWidth="1"/>
    <col min="4" max="4" width="12.58203125" customWidth="1"/>
    <col min="5" max="5" width="52.58203125" customWidth="1"/>
    <col min="6" max="10" width="12.5" customWidth="1"/>
  </cols>
  <sheetData>
    <row r="1" spans="1:30" ht="14.5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21.75" customHeight="1">
      <c r="A2" s="1"/>
      <c r="B2" s="3" t="s">
        <v>294</v>
      </c>
      <c r="C2" s="1"/>
      <c r="D2" s="1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5">
      <c r="A3" s="1"/>
      <c r="B3" s="5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5">
      <c r="A4" s="6"/>
      <c r="B4" s="6"/>
      <c r="C4" s="6"/>
      <c r="D4" s="6"/>
      <c r="E4" s="6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 ht="14.5">
      <c r="A5" s="6"/>
      <c r="B5" s="29" t="s">
        <v>295</v>
      </c>
      <c r="C5" s="30" t="s">
        <v>90</v>
      </c>
      <c r="D5" s="30" t="s">
        <v>296</v>
      </c>
      <c r="E5" s="29" t="s">
        <v>297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</row>
    <row r="6" spans="1:30" ht="14.5">
      <c r="A6" s="6"/>
      <c r="B6" s="6"/>
      <c r="C6" s="6"/>
      <c r="D6" s="6"/>
      <c r="E6" s="6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</row>
    <row r="7" spans="1:30" ht="14.5">
      <c r="A7" s="6"/>
      <c r="B7" s="31" t="s">
        <v>431</v>
      </c>
      <c r="C7" s="46">
        <f>Income_Statement!F8</f>
        <v>0.75</v>
      </c>
      <c r="D7" s="71" t="str">
        <f>IF(AND(Income_Statement!F8&gt;=0.7,Income_Statement!F8&lt;=0.76),"PASS","FAIL")</f>
        <v>PASS</v>
      </c>
      <c r="E7" s="34" t="s">
        <v>298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</row>
    <row r="8" spans="1:30" ht="14.5">
      <c r="A8" s="6"/>
      <c r="B8" s="31" t="s">
        <v>432</v>
      </c>
      <c r="C8" s="46">
        <f>Revenue_Build!J27</f>
        <v>0.96944970009012243</v>
      </c>
      <c r="D8" s="71" t="str">
        <f>IF(Revenue_Build!J27&gt;0.8,"PASS","FAIL")</f>
        <v>PASS</v>
      </c>
      <c r="E8" s="34" t="s">
        <v>299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</row>
    <row r="9" spans="1:30" ht="14.5">
      <c r="A9" s="6"/>
      <c r="B9" s="31" t="s">
        <v>300</v>
      </c>
      <c r="C9" s="46">
        <f>Income_Statement!F26</f>
        <v>0.64</v>
      </c>
      <c r="D9" s="71" t="str">
        <f>IF(Income_Statement!F26&gt;0.55,"PASS","FAIL")</f>
        <v>PASS</v>
      </c>
      <c r="E9" s="34" t="s">
        <v>301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</row>
    <row r="10" spans="1:30" ht="14.5">
      <c r="A10" s="6"/>
      <c r="B10" s="31" t="s">
        <v>302</v>
      </c>
      <c r="C10" s="46">
        <f>Cash_Flow!F33/Cash_Flow!F8</f>
        <v>0.78337369501184551</v>
      </c>
      <c r="D10" s="71" t="str">
        <f>IF(AND(Cash_Flow!F33/Cash_Flow!F8&gt;=0.75,Cash_Flow!F33/Cash_Flow!F8&lt;=1.05),"PASS","FAIL")</f>
        <v>PASS</v>
      </c>
      <c r="E10" s="77" t="s">
        <v>415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</row>
    <row r="11" spans="1:30" ht="14.5">
      <c r="A11" s="6"/>
      <c r="B11" s="31" t="s">
        <v>303</v>
      </c>
      <c r="C11" s="46">
        <f>Ratios!F17</f>
        <v>0.16500000000000001</v>
      </c>
      <c r="D11" s="71" t="str">
        <f>IF(AND(Ratios!F17&gt;=0.16,Ratios!F17&lt;=0.19),"PASS","FAIL")</f>
        <v>PASS</v>
      </c>
      <c r="E11" s="34" t="s">
        <v>304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</row>
    <row r="12" spans="1:30" ht="14.5">
      <c r="A12" s="6"/>
      <c r="B12" s="31" t="s">
        <v>305</v>
      </c>
      <c r="C12" s="46">
        <f>Ratios!F23</f>
        <v>3.0000000000000002E-2</v>
      </c>
      <c r="D12" s="71" t="str">
        <f>IF(Ratios!F23&lt;=0.05,"PASS","FAIL")</f>
        <v>PASS</v>
      </c>
      <c r="E12" s="34" t="s">
        <v>306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</row>
    <row r="13" spans="1:30" ht="14.5">
      <c r="A13" s="6"/>
      <c r="B13" s="31" t="s">
        <v>433</v>
      </c>
      <c r="C13" s="55">
        <f>Balance_Sheet!J40-Balance_Sheet!F40</f>
        <v>-428.79663298102969</v>
      </c>
      <c r="D13" s="71" t="str">
        <f>IF(Balance_Sheet!J40&lt;Balance_Sheet!F40,"PASS","FAIL")</f>
        <v>PASS</v>
      </c>
      <c r="E13" s="34" t="s">
        <v>307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</row>
    <row r="14" spans="1:30" ht="14.5">
      <c r="A14" s="6"/>
      <c r="B14" s="31" t="s">
        <v>434</v>
      </c>
      <c r="C14" s="47">
        <f>Ratios!F22</f>
        <v>-73571.162500000006</v>
      </c>
      <c r="D14" s="71" t="str">
        <f>IF(Ratios!F22&lt;0,"PASS","FAIL")</f>
        <v>PASS</v>
      </c>
      <c r="E14" s="34" t="s">
        <v>308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</row>
    <row r="15" spans="1:30" ht="14.5">
      <c r="A15" s="6"/>
      <c r="B15" s="31" t="s">
        <v>309</v>
      </c>
      <c r="C15" s="62">
        <f>SUMPRODUCT(ABS(Balance_Sheet!C44:J44))</f>
        <v>0</v>
      </c>
      <c r="D15" s="71" t="str">
        <f>IF(SUMPRODUCT(ABS(Balance_Sheet!C44:J44))&lt;1,"PASS","FAIL")</f>
        <v>PASS</v>
      </c>
      <c r="E15" s="34" t="s">
        <v>310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</row>
    <row r="16" spans="1:30">
      <c r="B16" s="97" t="s">
        <v>315</v>
      </c>
      <c r="C16" s="62" cm="1">
        <f t="array" ref="C16">SUMPRODUCT(ABS(Cash_Flow!C32:J32))</f>
        <v>0</v>
      </c>
      <c r="D16" s="71" t="str">
        <f>IF(C16=0,"PASS","FAIL")</f>
        <v>PASS</v>
      </c>
      <c r="E16" s="77" t="s">
        <v>316</v>
      </c>
    </row>
    <row r="17" spans="2:5">
      <c r="B17" s="97" t="s">
        <v>317</v>
      </c>
      <c r="C17" s="62" cm="1">
        <f t="array" ref="C17">SUMPRODUCT(ABS(Cash_Flow!C12:E12-Historical_Data!C29:E29))</f>
        <v>0</v>
      </c>
      <c r="D17" s="71" t="str">
        <f>IF(C17=0,"PASS","FAIL")</f>
        <v>PASS</v>
      </c>
      <c r="E17" s="77" t="s">
        <v>319</v>
      </c>
    </row>
    <row r="18" spans="2:5">
      <c r="B18" s="97" t="s">
        <v>318</v>
      </c>
      <c r="C18" s="62" cm="1">
        <f t="array" ref="C18">SUMPRODUCT(ABS(Cash_Flow!C31:E31-Historical_Data!C39:E39))</f>
        <v>0</v>
      </c>
      <c r="D18" s="71" t="str">
        <f>IF(C18=0,"PASS","FAIL")</f>
        <v>PASS</v>
      </c>
      <c r="E18" s="77" t="s">
        <v>320</v>
      </c>
    </row>
    <row r="19" spans="2:5">
      <c r="B19" s="97" t="s">
        <v>331</v>
      </c>
      <c r="C19" s="98">
        <f>Valuation!C23/Valuation!C24</f>
        <v>0.75685751451517713</v>
      </c>
      <c r="D19" s="71" t="str">
        <f>IF(C19&lt;80%,"PASS","REVIEW")</f>
        <v>PASS</v>
      </c>
      <c r="E19" s="77" t="s">
        <v>332</v>
      </c>
    </row>
  </sheetData>
  <pageMargins left="0.74803149606299213" right="0.74803149606299213" top="0.98425196850393704" bottom="0.98425196850393704" header="0.51181102362204722" footer="0.51181102362204722"/>
  <pageSetup paperSize="9" scale="98" orientation="landscape" horizontalDpi="300" verticalDpi="300" r:id="rId1"/>
  <headerFooter>
    <oddHeader>&amp;R&amp;"Arial,Bold"BASE CASE</oddHeader>
    <oddFooter>&amp;RResearch by T Ghiyas Kausara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106</vt:i4>
      </vt:variant>
    </vt:vector>
  </HeadingPairs>
  <TitlesOfParts>
    <vt:vector size="120" baseType="lpstr">
      <vt:lpstr>Cover</vt:lpstr>
      <vt:lpstr>Dashboard</vt:lpstr>
      <vt:lpstr>Assumptions</vt:lpstr>
      <vt:lpstr>Historical_Data</vt:lpstr>
      <vt:lpstr>Revenue_Build</vt:lpstr>
      <vt:lpstr>Income_Statement</vt:lpstr>
      <vt:lpstr>Working_Capital</vt:lpstr>
      <vt:lpstr>Debt_Schedule</vt:lpstr>
      <vt:lpstr>Balance_Sheet</vt:lpstr>
      <vt:lpstr>Cash_Flow</vt:lpstr>
      <vt:lpstr>Capital_allocation</vt:lpstr>
      <vt:lpstr>Valuation</vt:lpstr>
      <vt:lpstr>Ratios</vt:lpstr>
      <vt:lpstr>Checks</vt:lpstr>
      <vt:lpstr>Auto_Growth</vt:lpstr>
      <vt:lpstr>BS_AP</vt:lpstr>
      <vt:lpstr>BS_AR</vt:lpstr>
      <vt:lpstr>BS_Cash</vt:lpstr>
      <vt:lpstr>BS_Check</vt:lpstr>
      <vt:lpstr>BS_Inv</vt:lpstr>
      <vt:lpstr>BS_LTD</vt:lpstr>
      <vt:lpstr>BS_PPE</vt:lpstr>
      <vt:lpstr>BS_Shares</vt:lpstr>
      <vt:lpstr>BS_STI</vt:lpstr>
      <vt:lpstr>BS_TCA</vt:lpstr>
      <vt:lpstr>BS_TCL</vt:lpstr>
      <vt:lpstr>BS_Total_Assets</vt:lpstr>
      <vt:lpstr>BS_Total_Equity</vt:lpstr>
      <vt:lpstr>BS_Total_Liab</vt:lpstr>
      <vt:lpstr>Capex_Pct</vt:lpstr>
      <vt:lpstr>Cash_Yield</vt:lpstr>
      <vt:lpstr>CF_Capex</vt:lpstr>
      <vt:lpstr>CF_CFF</vt:lpstr>
      <vt:lpstr>CF_CFI</vt:lpstr>
      <vt:lpstr>CF_CFO</vt:lpstr>
      <vt:lpstr>CF_Closing_Cash</vt:lpstr>
      <vt:lpstr>CF_DA</vt:lpstr>
      <vt:lpstr>CF_FCF</vt:lpstr>
      <vt:lpstr>CF_Opening_Cash</vt:lpstr>
      <vt:lpstr>DC_Compute_Growth</vt:lpstr>
      <vt:lpstr>DC_Network_Growth</vt:lpstr>
      <vt:lpstr>DCF_Per_Share</vt:lpstr>
      <vt:lpstr>Debt_Closing</vt:lpstr>
      <vt:lpstr>Debt_Int_Income</vt:lpstr>
      <vt:lpstr>Debt_Interest</vt:lpstr>
      <vt:lpstr>Debt_Opening</vt:lpstr>
      <vt:lpstr>DIO</vt:lpstr>
      <vt:lpstr>Div_Per_Share</vt:lpstr>
      <vt:lpstr>DPO</vt:lpstr>
      <vt:lpstr>DSO</vt:lpstr>
      <vt:lpstr>Equity_Value</vt:lpstr>
      <vt:lpstr>EV</vt:lpstr>
      <vt:lpstr>Exit_EV_EBITDA</vt:lpstr>
      <vt:lpstr>Gaming_Growth</vt:lpstr>
      <vt:lpstr>Gross_Margin_FY26</vt:lpstr>
      <vt:lpstr>Gross_Margin_Term</vt:lpstr>
      <vt:lpstr>Growth_Decay</vt:lpstr>
      <vt:lpstr>IS_COGS</vt:lpstr>
      <vt:lpstr>IS_Diluted_Shares</vt:lpstr>
      <vt:lpstr>IS_EBITDA</vt:lpstr>
      <vt:lpstr>IS_EPS</vt:lpstr>
      <vt:lpstr>IS_GM_Pct</vt:lpstr>
      <vt:lpstr>IS_Gross_Profit</vt:lpstr>
      <vt:lpstr>IS_Int_Expense</vt:lpstr>
      <vt:lpstr>IS_Int_Income</vt:lpstr>
      <vt:lpstr>IS_Net_Income</vt:lpstr>
      <vt:lpstr>IS_Net_Margin</vt:lpstr>
      <vt:lpstr>IS_Op_Margin</vt:lpstr>
      <vt:lpstr>IS_Operating_Income</vt:lpstr>
      <vt:lpstr>IS_Pretax</vt:lpstr>
      <vt:lpstr>IS_RD</vt:lpstr>
      <vt:lpstr>IS_Revenue</vt:lpstr>
      <vt:lpstr>IS_SBC</vt:lpstr>
      <vt:lpstr>IS_SGA</vt:lpstr>
      <vt:lpstr>IS_Tax</vt:lpstr>
      <vt:lpstr>OEM_Growth</vt:lpstr>
      <vt:lpstr>Assumptions!Print_Area</vt:lpstr>
      <vt:lpstr>Balance_Sheet!Print_Area</vt:lpstr>
      <vt:lpstr>Capital_allocation!Print_Area</vt:lpstr>
      <vt:lpstr>Cash_Flow!Print_Area</vt:lpstr>
      <vt:lpstr>Checks!Print_Area</vt:lpstr>
      <vt:lpstr>Cover!Print_Area</vt:lpstr>
      <vt:lpstr>Dashboard!Print_Area</vt:lpstr>
      <vt:lpstr>Debt_Schedule!Print_Area</vt:lpstr>
      <vt:lpstr>Historical_Data!Print_Area</vt:lpstr>
      <vt:lpstr>Income_Statement!Print_Area</vt:lpstr>
      <vt:lpstr>Ratios!Print_Area</vt:lpstr>
      <vt:lpstr>Revenue_Build!Print_Area</vt:lpstr>
      <vt:lpstr>Valuation!Print_Area</vt:lpstr>
      <vt:lpstr>Working_Capital!Print_Area</vt:lpstr>
      <vt:lpstr>Assumptions!Print_Titles</vt:lpstr>
      <vt:lpstr>Balance_Sheet!Print_Titles</vt:lpstr>
      <vt:lpstr>Cash_Flow!Print_Titles</vt:lpstr>
      <vt:lpstr>Dashboard!Print_Titles</vt:lpstr>
      <vt:lpstr>Valuation!Print_Titles</vt:lpstr>
      <vt:lpstr>ProViz_Growth</vt:lpstr>
      <vt:lpstr>RB_Auto</vt:lpstr>
      <vt:lpstr>RB_Compute</vt:lpstr>
      <vt:lpstr>RB_DC</vt:lpstr>
      <vt:lpstr>RB_DC_Mix</vt:lpstr>
      <vt:lpstr>RB_Gaming</vt:lpstr>
      <vt:lpstr>RB_Network</vt:lpstr>
      <vt:lpstr>RB_OEM</vt:lpstr>
      <vt:lpstr>RB_ProViz</vt:lpstr>
      <vt:lpstr>RB_Total</vt:lpstr>
      <vt:lpstr>RD_Pct</vt:lpstr>
      <vt:lpstr>SBC_Pct</vt:lpstr>
      <vt:lpstr>SBC_Shares</vt:lpstr>
      <vt:lpstr>Scenario</vt:lpstr>
      <vt:lpstr>SGA_Pct</vt:lpstr>
      <vt:lpstr>Target_Cash_Pct</vt:lpstr>
      <vt:lpstr>Target_PE</vt:lpstr>
      <vt:lpstr>Tax_Rate</vt:lpstr>
      <vt:lpstr>Terminal_Growth</vt:lpstr>
      <vt:lpstr>WACC</vt:lpstr>
      <vt:lpstr>Working_Capital!WC_AP</vt:lpstr>
      <vt:lpstr>Working_Capital!WC_AR</vt:lpstr>
      <vt:lpstr>Working_Capital!WC_DNWC</vt:lpstr>
      <vt:lpstr>Working_Capital!WC_Inv</vt:lpstr>
      <vt:lpstr>Working_Capital!WC_NWC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ASUS</cp:lastModifiedBy>
  <cp:revision>2</cp:revision>
  <cp:lastPrinted>2026-10-05T16:47:42Z</cp:lastPrinted>
  <dcterms:created xsi:type="dcterms:W3CDTF">2026-08-05T23:19:21Z</dcterms:created>
  <dcterms:modified xsi:type="dcterms:W3CDTF">2026-10-06T01:18:16Z</dcterms:modified>
  <dc:language>en-GB</dc:language>
</cp:coreProperties>
</file>